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PG\Courses\Semester 2\Seminar\Mata Kuliah Semester 2\PTK\Lab\"/>
    </mc:Choice>
  </mc:AlternateContent>
  <xr:revisionPtr revIDLastSave="0" documentId="8_{6E9ABB9D-F741-4E28-8A5A-FD64C6165DB1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Quiz 1 (LK-1 Bubut)" sheetId="3" r:id="rId1"/>
    <sheet name="Pretest Diagnostik" sheetId="4" r:id="rId2"/>
    <sheet name="11 TP A" sheetId="1" r:id="rId3"/>
    <sheet name="11 TP B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3" l="1"/>
  <c r="G42" i="3"/>
  <c r="G41" i="3"/>
  <c r="G40" i="3"/>
  <c r="G39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</calcChain>
</file>

<file path=xl/sharedStrings.xml><?xml version="1.0" encoding="utf-8"?>
<sst xmlns="http://schemas.openxmlformats.org/spreadsheetml/2006/main" count="843" uniqueCount="145">
  <si>
    <t>NAMA</t>
  </si>
  <si>
    <t>NIS</t>
  </si>
  <si>
    <t>KELAS</t>
  </si>
  <si>
    <t>NO</t>
  </si>
  <si>
    <t>11 TP A</t>
  </si>
  <si>
    <t>ABYAN MAULANA</t>
  </si>
  <si>
    <t>ADHISA DINO DEWANGGA</t>
  </si>
  <si>
    <t>ADITYA PRAMANA PUTRA</t>
  </si>
  <si>
    <t>ADITYA PUTRA WICAKSONO</t>
  </si>
  <si>
    <t>AFKHAN RIZKI HANUUN</t>
  </si>
  <si>
    <t>AGRA MANGGALA YOGA ADETAMA</t>
  </si>
  <si>
    <t>AHMAD ZAKI MUCHLIS</t>
  </si>
  <si>
    <t>ALBILAL ZHUKA ADYATMA</t>
  </si>
  <si>
    <t>ALFINO WICAKSONO</t>
  </si>
  <si>
    <t>ALIF IRVAN KHOIRUL RASYID</t>
  </si>
  <si>
    <t>ALIFVIANO PUTRA PURNAWAN</t>
  </si>
  <si>
    <t>ALVIN RAHMADTULLAH</t>
  </si>
  <si>
    <t>ALVINO RIZKY MAHESSA</t>
  </si>
  <si>
    <t>ANDREAS NAYAKA WIDRAJAD</t>
  </si>
  <si>
    <t>ANDRIAN SURYA PUTRA</t>
  </si>
  <si>
    <t>ANGGER TEGUH PRASETYO</t>
  </si>
  <si>
    <t>APRILIAN NUR ADZANA</t>
  </si>
  <si>
    <t>ARSYAD BINTANG PAMBUDI</t>
  </si>
  <si>
    <t>ARUNA MUHAMMAD AHZA</t>
  </si>
  <si>
    <t>ASYRAF FARELLEZA QOWIYYAN</t>
  </si>
  <si>
    <t>BAGUS FADHIL FIRMANSYAH</t>
  </si>
  <si>
    <t>BANYU RANGGAS TIRANI</t>
  </si>
  <si>
    <t>CAESAR LANANG PUTRA SARJANA</t>
  </si>
  <si>
    <t>DIKA AMARTA</t>
  </si>
  <si>
    <t>DIMAS REZKY PRANATATAMA</t>
  </si>
  <si>
    <t>DZAKWAN FAIZ FADHLURROHMAN</t>
  </si>
  <si>
    <t>EKA ARDHITYA SAPUTRA</t>
  </si>
  <si>
    <t>FANI NOVANDI SETYA WIDADA</t>
  </si>
  <si>
    <t>FARHAN NURHIDAYAT</t>
  </si>
  <si>
    <t>FAUZY RAKA KURNIANTO</t>
  </si>
  <si>
    <t>FIRNANDA ALDI PRASETYO</t>
  </si>
  <si>
    <t>FLORENTINUS BAGUS JALU WICAKSANA</t>
  </si>
  <si>
    <t>GAVIN FATTAN FADLILLAH</t>
  </si>
  <si>
    <t>GERARDO ALEXANDRO RANGGA KRISHANDA</t>
  </si>
  <si>
    <t>GESANG DEMAS DIGDAYA</t>
  </si>
  <si>
    <t>GHATFAN RAFIF WIKAN WIJANARKO</t>
  </si>
  <si>
    <t>11 TP B</t>
  </si>
  <si>
    <t>HANIF PRASNANTO SAPUTRO</t>
  </si>
  <si>
    <t>IMAM NUR CAHYO</t>
  </si>
  <si>
    <t>JHOVAN AFIRMANSYAHPUTRA</t>
  </si>
  <si>
    <t>KHOIRUL RIZKY SETIAWAN</t>
  </si>
  <si>
    <t>MAULANA RIFALDO</t>
  </si>
  <si>
    <t>MUHAMMAD ABDUL RAHMAN</t>
  </si>
  <si>
    <t>MUHAMMAD ALIF ALFATHURIZKY</t>
  </si>
  <si>
    <t>MUHAMMAD AZIZ SIDQI SULTHONI</t>
  </si>
  <si>
    <t>MUHAMMAD FAIQ PRIHANDOKO</t>
  </si>
  <si>
    <t>MUHAMMAD IKWANNUDIN</t>
  </si>
  <si>
    <t>MUHAMMAD KHADAFI</t>
  </si>
  <si>
    <t>MUHAMMAD RIDWAN IQBAL PRATAMA</t>
  </si>
  <si>
    <t>MUHAMMAD YAAFI QIANDA LUBIS</t>
  </si>
  <si>
    <t>MUHAMMAD ZAKY AJI NOTONEGORO</t>
  </si>
  <si>
    <t>NATHAN PRAYATA</t>
  </si>
  <si>
    <t>NAUFAL MAGHANI PRATAMA</t>
  </si>
  <si>
    <t>NAUFAL RIZKY ARYA SATYA</t>
  </si>
  <si>
    <t>NAVITA ABIGAIL FLORENCIA</t>
  </si>
  <si>
    <t>RADHITYA IKHWAN NARRAYA</t>
  </si>
  <si>
    <t>RADITYA AYDIN FARAND</t>
  </si>
  <si>
    <t>RAFA ABDILLAH ALKHAFSI</t>
  </si>
  <si>
    <t>RAFA PUTRA PRATAMA</t>
  </si>
  <si>
    <t>RAFI HARI NUGROHO</t>
  </si>
  <si>
    <t>RAFIF BINTANG KHADDAFI</t>
  </si>
  <si>
    <t>RAFKA ALIFUL RITZQI</t>
  </si>
  <si>
    <t>RAIHAN RAFFI FADHILLAH</t>
  </si>
  <si>
    <t>RAORAN AL DEAN SANTOSA</t>
  </si>
  <si>
    <t>RAZAAN NABIL RABBAANI</t>
  </si>
  <si>
    <t>REVAN JUANDA APRIYANTO</t>
  </si>
  <si>
    <t>REZKIA AWALIA OKTAVIANO</t>
  </si>
  <si>
    <t>RISFAN AS SYIFA ANDRIYANTO</t>
  </si>
  <si>
    <t>RIZKY AKBAR PRASETIYO PUTRA</t>
  </si>
  <si>
    <t>SILVESTER OZORA DAVID SATRIAWAN</t>
  </si>
  <si>
    <t>WILDHAN HANIF KUSUMA</t>
  </si>
  <si>
    <t>WILLIAM KEVIN VENDRIAN NUGROHO</t>
  </si>
  <si>
    <t>YUSUF SYAIFULLAH</t>
  </si>
  <si>
    <t>x</t>
  </si>
  <si>
    <t>Kelompok</t>
  </si>
  <si>
    <t>WAKTU PENGERJAAN</t>
  </si>
  <si>
    <t>NAMA LENGKAP SISWA</t>
  </si>
  <si>
    <t>KELOMPOK</t>
  </si>
  <si>
    <t>SKOR QUIZ 1 (0-100)</t>
  </si>
  <si>
    <t>BENAR / 10</t>
  </si>
  <si>
    <t>STATUS KELULUSAN</t>
  </si>
  <si>
    <t>RINCIAN JAWABAN (Q1-Q10)</t>
  </si>
  <si>
    <t>STATUS LAMPIRAN</t>
  </si>
  <si>
    <t>LINK GOOGLE DRIVE LAMPIRAN</t>
  </si>
  <si>
    <t>TAHUN AJARAN</t>
  </si>
  <si>
    <t>-</t>
  </si>
  <si>
    <t>22188</t>
  </si>
  <si>
    <t>Belum Ada Lampiran</t>
  </si>
  <si>
    <t>2026/2027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</si>
  <si>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</si>
  <si>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</si>
  <si>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</si>
  <si>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</si>
  <si>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</si>
  <si>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</si>
  <si>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</si>
  <si>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</si>
  <si>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</si>
  <si>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</si>
  <si>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</si>
  <si>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</si>
  <si>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</si>
  <si>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</si>
  <si>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</si>
  <si>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</si>
  <si>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</si>
  <si>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</si>
  <si>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</si>
  <si>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</si>
  <si>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</si>
  <si>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</si>
  <si>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</si>
  <si>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</si>
  <si>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</si>
  <si>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</si>
  <si>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</si>
  <si>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</si>
  <si>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</si>
  <si>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</si>
  <si>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</si>
  <si>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</si>
  <si>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</si>
  <si>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</si>
  <si>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</si>
  <si>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Rata-Rata Kelas:</t>
  </si>
  <si>
    <t>Nilai Tertinggi:</t>
  </si>
  <si>
    <t>Nilai Terendah:</t>
  </si>
  <si>
    <t>Siswa Tuntas / Lulus:</t>
  </si>
  <si>
    <t>Persentase Kelulusan:</t>
  </si>
  <si>
    <t>SKOR KOGNITIF (0-100)</t>
  </si>
  <si>
    <t>KATEGORI KESIAPAN</t>
  </si>
  <si>
    <t>GAYA BELAJAR SISWA</t>
  </si>
  <si>
    <t>PENGALAMAN MESIN</t>
  </si>
  <si>
    <t>KESIAPAN FISIK &amp; K3</t>
  </si>
  <si>
    <t>NILAI KUIS (0-100)</t>
  </si>
  <si>
    <t>BENAR / TOTAL</t>
  </si>
  <si>
    <t>SKOR K3 (APD)</t>
  </si>
  <si>
    <t>ANATOMI MESIN</t>
  </si>
  <si>
    <t>PARAMETER CS &amp; RA</t>
  </si>
  <si>
    <t>STATUS EVALUASI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</si>
</sst>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465F06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45309"/>
        <bgColor indexed="64"/>
      </patternFill>
    </fill>
    <fill>
      <patternFill patternType="solid">
        <fgColor rgb="FFFBFAF9"/>
        <bgColor indexed="64"/>
      </patternFill>
    </fill>
    <fill>
      <patternFill patternType="solid">
        <fgColor rgb="FFFEF2E0"/>
        <bgColor indexed="64"/>
      </patternFill>
    </fill>
    <fill>
      <patternFill patternType="solid">
        <fgColor rgb="FFE5FAD1"/>
        <bgColor indexed="64"/>
      </patternFill>
    </fill>
    <fill>
      <patternFill patternType="solid">
        <fgColor rgb="FFC7F3FE"/>
        <bgColor indexed="64"/>
      </patternFill>
    </fill>
    <fill>
      <patternFill patternType="solid">
        <fgColor rgb="FF1E40A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BD5D1"/>
      </left>
      <right style="thin">
        <color rgb="FFDBD5D1"/>
      </right>
      <top style="thin">
        <color rgb="FFDBD5D1"/>
      </top>
      <bottom style="thin">
        <color rgb="FFDBD5D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16">
    <xf numFmtId="0" fontId="0" fillId="0" borderId="0" xfId="0"/>
    <xf numFmtId="1" fontId="0" fillId="0" borderId="0" xfId="0" applyNumberForma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0" fontId="16" fillId="35" borderId="0" xfId="0" applyFont="1" applyFill="1" applyAlignment="1">
      <alignment horizontal="center"/>
    </xf>
    <xf numFmtId="0" fontId="21" fillId="36" borderId="0" xfId="0" applyFont="1" applyFill="1" applyAlignment="1">
      <alignment horizontal="center"/>
    </xf>
    <xf numFmtId="0" fontId="16" fillId="37" borderId="0" xfId="0" applyFont="1" applyFill="1" applyAlignment="1">
      <alignment horizontal="center"/>
    </xf>
    <xf numFmtId="0" fontId="20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0" borderId="10" xfId="0" quotePrefix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0" xfId="0" applyBorder="1"/>
    <xf numFmtId="0" fontId="0" fillId="34" borderId="10" xfId="0" applyFill="1" applyBorder="1" applyAlignment="1">
      <alignment horizontal="center"/>
    </xf>
    <xf numFmtId="0" fontId="20" fillId="38" borderId="10" xfId="0" applyFont="1" applyFill="1" applyBorder="1" applyAlignment="1">
      <alignment horizontal="center" vertical="center"/>
    </xf>
    <xf numFmtId="0" fontId="19" fillId="38" borderId="0" xfId="0" applyFont="1" applyFill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1F17B0BD-B68D-42D7-AAA5-351C0D2CA69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5296C-0505-402C-8C54-A61A399A2AD3}">
  <dimension ref="A1:M43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6.6328125" customWidth="1"/>
    <col min="2" max="2" width="19.6328125" customWidth="1"/>
    <col min="3" max="3" width="32.6328125" customWidth="1"/>
    <col min="4" max="5" width="10.6328125" customWidth="1"/>
    <col min="6" max="6" width="11.6328125" customWidth="1"/>
    <col min="7" max="7" width="16.6328125" customWidth="1"/>
    <col min="8" max="8" width="13.6328125" customWidth="1"/>
    <col min="9" max="9" width="20.6328125" customWidth="1"/>
    <col min="10" max="10" width="28.6328125" customWidth="1"/>
    <col min="11" max="11" width="18.6328125" customWidth="1"/>
    <col min="12" max="12" width="32.6328125" customWidth="1"/>
    <col min="13" max="13" width="14.6328125" customWidth="1"/>
  </cols>
  <sheetData>
    <row r="1" spans="1:13" ht="28" customHeight="1" x14ac:dyDescent="0.35">
      <c r="A1" s="7" t="s">
        <v>3</v>
      </c>
      <c r="B1" s="7" t="s">
        <v>80</v>
      </c>
      <c r="C1" s="7" t="s">
        <v>81</v>
      </c>
      <c r="D1" s="7" t="s">
        <v>1</v>
      </c>
      <c r="E1" s="7" t="s">
        <v>2</v>
      </c>
      <c r="F1" s="7" t="s">
        <v>82</v>
      </c>
      <c r="G1" s="7" t="s">
        <v>83</v>
      </c>
      <c r="H1" s="7" t="s">
        <v>84</v>
      </c>
      <c r="I1" s="7" t="s">
        <v>85</v>
      </c>
      <c r="J1" s="7" t="s">
        <v>86</v>
      </c>
      <c r="K1" s="7" t="s">
        <v>87</v>
      </c>
      <c r="L1" s="7" t="s">
        <v>88</v>
      </c>
      <c r="M1" s="7" t="s">
        <v>89</v>
      </c>
    </row>
    <row r="2" spans="1:13" x14ac:dyDescent="0.35">
      <c r="A2" s="8">
        <v>1</v>
      </c>
      <c r="B2" s="8" t="s">
        <v>90</v>
      </c>
      <c r="C2" s="9" t="s">
        <v>5</v>
      </c>
      <c r="D2" s="10" t="s">
        <v>91</v>
      </c>
      <c r="E2" s="8" t="s">
        <v>4</v>
      </c>
      <c r="F2" s="8">
        <v>12</v>
      </c>
      <c r="G2" s="11"/>
      <c r="H2" s="8"/>
      <c r="I2" s="11" t="str">
        <f>IF(G2="","-",IF(G2&gt;=75,"LULUS (KOMPETEN)","PERLU PENGAYAAN"))</f>
        <v>-</v>
      </c>
      <c r="J2" s="12" t="s">
        <v>90</v>
      </c>
      <c r="K2" s="8" t="s">
        <v>92</v>
      </c>
      <c r="L2" s="12" t="s">
        <v>90</v>
      </c>
      <c r="M2" s="8" t="s">
        <v>93</v>
      </c>
    </row>
    <row r="3" spans="1:13" x14ac:dyDescent="0.35">
      <c r="A3" s="13">
        <v>2</v>
      </c>
      <c r="B3" s="8" t="s">
        <v>90</v>
      </c>
      <c r="C3" s="9" t="s">
        <v>6</v>
      </c>
      <c r="D3" s="10" t="s">
        <v>94</v>
      </c>
      <c r="E3" s="8" t="s">
        <v>4</v>
      </c>
      <c r="F3" s="8">
        <v>12</v>
      </c>
      <c r="G3" s="11"/>
      <c r="H3" s="8"/>
      <c r="I3" s="11" t="str">
        <f>IF(G3="","-",IF(G3&gt;=75,"LULUS (KOMPETEN)","PERLU PENGAYAAN"))</f>
        <v>-</v>
      </c>
      <c r="J3" s="12" t="s">
        <v>90</v>
      </c>
      <c r="K3" s="8" t="s">
        <v>92</v>
      </c>
      <c r="L3" s="12" t="s">
        <v>90</v>
      </c>
      <c r="M3" s="8" t="s">
        <v>93</v>
      </c>
    </row>
    <row r="4" spans="1:13" x14ac:dyDescent="0.35">
      <c r="A4" s="8">
        <v>3</v>
      </c>
      <c r="B4" s="8" t="s">
        <v>90</v>
      </c>
      <c r="C4" s="9" t="s">
        <v>7</v>
      </c>
      <c r="D4" s="10" t="s">
        <v>95</v>
      </c>
      <c r="E4" s="8" t="s">
        <v>4</v>
      </c>
      <c r="F4" s="8">
        <v>5</v>
      </c>
      <c r="G4" s="11"/>
      <c r="H4" s="8"/>
      <c r="I4" s="11" t="str">
        <f>IF(G4="","-",IF(G4&gt;=75,"LULUS (KOMPETEN)","PERLU PENGAYAAN"))</f>
        <v>-</v>
      </c>
      <c r="J4" s="12" t="s">
        <v>90</v>
      </c>
      <c r="K4" s="8" t="s">
        <v>92</v>
      </c>
      <c r="L4" s="12" t="s">
        <v>90</v>
      </c>
      <c r="M4" s="8" t="s">
        <v>93</v>
      </c>
    </row>
    <row r="5" spans="1:13" x14ac:dyDescent="0.35">
      <c r="A5" s="13">
        <v>4</v>
      </c>
      <c r="B5" s="8" t="s">
        <v>90</v>
      </c>
      <c r="C5" s="9" t="s">
        <v>8</v>
      </c>
      <c r="D5" s="10" t="s">
        <v>96</v>
      </c>
      <c r="E5" s="8" t="s">
        <v>4</v>
      </c>
      <c r="F5" s="8">
        <v>13</v>
      </c>
      <c r="G5" s="11"/>
      <c r="H5" s="8"/>
      <c r="I5" s="11" t="str">
        <f>IF(G5="","-",IF(G5&gt;=75,"LULUS (KOMPETEN)","PERLU PENGAYAAN"))</f>
        <v>-</v>
      </c>
      <c r="J5" s="12" t="s">
        <v>90</v>
      </c>
      <c r="K5" s="8" t="s">
        <v>92</v>
      </c>
      <c r="L5" s="12" t="s">
        <v>90</v>
      </c>
      <c r="M5" s="8" t="s">
        <v>93</v>
      </c>
    </row>
    <row r="6" spans="1:13" x14ac:dyDescent="0.35">
      <c r="A6" s="8">
        <v>5</v>
      </c>
      <c r="B6" s="8" t="s">
        <v>90</v>
      </c>
      <c r="C6" s="9" t="s">
        <v>9</v>
      </c>
      <c r="D6" s="10" t="s">
        <v>97</v>
      </c>
      <c r="E6" s="8" t="s">
        <v>4</v>
      </c>
      <c r="F6" s="8">
        <v>1</v>
      </c>
      <c r="G6" s="11"/>
      <c r="H6" s="8"/>
      <c r="I6" s="11" t="str">
        <f>IF(G6="","-",IF(G6&gt;=75,"LULUS (KOMPETEN)","PERLU PENGAYAAN"))</f>
        <v>-</v>
      </c>
      <c r="J6" s="12" t="s">
        <v>90</v>
      </c>
      <c r="K6" s="8" t="s">
        <v>92</v>
      </c>
      <c r="L6" s="12" t="s">
        <v>90</v>
      </c>
      <c r="M6" s="8" t="s">
        <v>93</v>
      </c>
    </row>
    <row r="7" spans="1:13" x14ac:dyDescent="0.35">
      <c r="A7" s="13">
        <v>6</v>
      </c>
      <c r="B7" s="8" t="s">
        <v>90</v>
      </c>
      <c r="C7" s="9" t="s">
        <v>10</v>
      </c>
      <c r="D7" s="10" t="s">
        <v>98</v>
      </c>
      <c r="E7" s="8" t="s">
        <v>4</v>
      </c>
      <c r="F7" s="8">
        <v>6</v>
      </c>
      <c r="G7" s="11"/>
      <c r="H7" s="8"/>
      <c r="I7" s="11" t="str">
        <f>IF(G7="","-",IF(G7&gt;=75,"LULUS (KOMPETEN)","PERLU PENGAYAAN"))</f>
        <v>-</v>
      </c>
      <c r="J7" s="12" t="s">
        <v>90</v>
      </c>
      <c r="K7" s="8" t="s">
        <v>92</v>
      </c>
      <c r="L7" s="12" t="s">
        <v>90</v>
      </c>
      <c r="M7" s="8" t="s">
        <v>93</v>
      </c>
    </row>
    <row r="8" spans="1:13" x14ac:dyDescent="0.35">
      <c r="A8" s="8">
        <v>7</v>
      </c>
      <c r="B8" s="8" t="s">
        <v>90</v>
      </c>
      <c r="C8" s="9" t="s">
        <v>11</v>
      </c>
      <c r="D8" s="10" t="s">
        <v>99</v>
      </c>
      <c r="E8" s="8" t="s">
        <v>4</v>
      </c>
      <c r="F8" s="8">
        <v>5</v>
      </c>
      <c r="G8" s="11"/>
      <c r="H8" s="8"/>
      <c r="I8" s="11" t="str">
        <f>IF(G8="","-",IF(G8&gt;=75,"LULUS (KOMPETEN)","PERLU PENGAYAAN"))</f>
        <v>-</v>
      </c>
      <c r="J8" s="12" t="s">
        <v>90</v>
      </c>
      <c r="K8" s="8" t="s">
        <v>92</v>
      </c>
      <c r="L8" s="12" t="s">
        <v>90</v>
      </c>
      <c r="M8" s="8" t="s">
        <v>93</v>
      </c>
    </row>
    <row r="9" spans="1:13" x14ac:dyDescent="0.35">
      <c r="A9" s="13">
        <v>8</v>
      </c>
      <c r="B9" s="8" t="s">
        <v>90</v>
      </c>
      <c r="C9" s="9" t="s">
        <v>12</v>
      </c>
      <c r="D9" s="10" t="s">
        <v>100</v>
      </c>
      <c r="E9" s="8" t="s">
        <v>4</v>
      </c>
      <c r="F9" s="8">
        <v>1</v>
      </c>
      <c r="G9" s="11"/>
      <c r="H9" s="8"/>
      <c r="I9" s="11" t="str">
        <f>IF(G9="","-",IF(G9&gt;=75,"LULUS (KOMPETEN)","PERLU PENGAYAAN"))</f>
        <v>-</v>
      </c>
      <c r="J9" s="12" t="s">
        <v>90</v>
      </c>
      <c r="K9" s="8" t="s">
        <v>92</v>
      </c>
      <c r="L9" s="12" t="s">
        <v>90</v>
      </c>
      <c r="M9" s="8" t="s">
        <v>93</v>
      </c>
    </row>
    <row r="10" spans="1:13" x14ac:dyDescent="0.35">
      <c r="A10" s="8">
        <v>9</v>
      </c>
      <c r="B10" s="8" t="s">
        <v>90</v>
      </c>
      <c r="C10" s="9" t="s">
        <v>13</v>
      </c>
      <c r="D10" s="10" t="s">
        <v>101</v>
      </c>
      <c r="E10" s="8" t="s">
        <v>4</v>
      </c>
      <c r="F10" s="8">
        <v>13</v>
      </c>
      <c r="G10" s="11"/>
      <c r="H10" s="8"/>
      <c r="I10" s="11" t="str">
        <f>IF(G10="","-",IF(G10&gt;=75,"LULUS (KOMPETEN)","PERLU PENGAYAAN"))</f>
        <v>-</v>
      </c>
      <c r="J10" s="12" t="s">
        <v>90</v>
      </c>
      <c r="K10" s="8" t="s">
        <v>92</v>
      </c>
      <c r="L10" s="12" t="s">
        <v>90</v>
      </c>
      <c r="M10" s="8" t="s">
        <v>93</v>
      </c>
    </row>
    <row r="11" spans="1:13" x14ac:dyDescent="0.35">
      <c r="A11" s="13">
        <v>10</v>
      </c>
      <c r="B11" s="8" t="s">
        <v>90</v>
      </c>
      <c r="C11" s="9" t="s">
        <v>14</v>
      </c>
      <c r="D11" s="10" t="s">
        <v>102</v>
      </c>
      <c r="E11" s="8" t="s">
        <v>4</v>
      </c>
      <c r="F11" s="8">
        <v>11</v>
      </c>
      <c r="G11" s="11"/>
      <c r="H11" s="8"/>
      <c r="I11" s="11" t="str">
        <f>IF(G11="","-",IF(G11&gt;=75,"LULUS (KOMPETEN)","PERLU PENGAYAAN"))</f>
        <v>-</v>
      </c>
      <c r="J11" s="12" t="s">
        <v>90</v>
      </c>
      <c r="K11" s="8" t="s">
        <v>92</v>
      </c>
      <c r="L11" s="12" t="s">
        <v>90</v>
      </c>
      <c r="M11" s="8" t="s">
        <v>93</v>
      </c>
    </row>
    <row r="12" spans="1:13" x14ac:dyDescent="0.35">
      <c r="A12" s="8">
        <v>11</v>
      </c>
      <c r="B12" s="8" t="s">
        <v>90</v>
      </c>
      <c r="C12" s="9" t="s">
        <v>15</v>
      </c>
      <c r="D12" s="10" t="s">
        <v>103</v>
      </c>
      <c r="E12" s="8" t="s">
        <v>4</v>
      </c>
      <c r="F12" s="8">
        <v>7</v>
      </c>
      <c r="G12" s="11"/>
      <c r="H12" s="8"/>
      <c r="I12" s="11" t="str">
        <f>IF(G12="","-",IF(G12&gt;=75,"LULUS (KOMPETEN)","PERLU PENGAYAAN"))</f>
        <v>-</v>
      </c>
      <c r="J12" s="12" t="s">
        <v>90</v>
      </c>
      <c r="K12" s="8" t="s">
        <v>92</v>
      </c>
      <c r="L12" s="12" t="s">
        <v>90</v>
      </c>
      <c r="M12" s="8" t="s">
        <v>93</v>
      </c>
    </row>
    <row r="13" spans="1:13" x14ac:dyDescent="0.35">
      <c r="A13" s="13">
        <v>12</v>
      </c>
      <c r="B13" s="8" t="s">
        <v>90</v>
      </c>
      <c r="C13" s="9" t="s">
        <v>16</v>
      </c>
      <c r="D13" s="10" t="s">
        <v>104</v>
      </c>
      <c r="E13" s="8" t="s">
        <v>4</v>
      </c>
      <c r="F13" s="8">
        <v>7</v>
      </c>
      <c r="G13" s="11"/>
      <c r="H13" s="8"/>
      <c r="I13" s="11" t="str">
        <f>IF(G13="","-",IF(G13&gt;=75,"LULUS (KOMPETEN)","PERLU PENGAYAAN"))</f>
        <v>-</v>
      </c>
      <c r="J13" s="12" t="s">
        <v>90</v>
      </c>
      <c r="K13" s="8" t="s">
        <v>92</v>
      </c>
      <c r="L13" s="12" t="s">
        <v>90</v>
      </c>
      <c r="M13" s="8" t="s">
        <v>93</v>
      </c>
    </row>
    <row r="14" spans="1:13" x14ac:dyDescent="0.35">
      <c r="A14" s="8">
        <v>13</v>
      </c>
      <c r="B14" s="8" t="s">
        <v>90</v>
      </c>
      <c r="C14" s="9" t="s">
        <v>17</v>
      </c>
      <c r="D14" s="10" t="s">
        <v>105</v>
      </c>
      <c r="E14" s="8" t="s">
        <v>4</v>
      </c>
      <c r="F14" s="8">
        <v>3</v>
      </c>
      <c r="G14" s="11"/>
      <c r="H14" s="8"/>
      <c r="I14" s="11" t="str">
        <f>IF(G14="","-",IF(G14&gt;=75,"LULUS (KOMPETEN)","PERLU PENGAYAAN"))</f>
        <v>-</v>
      </c>
      <c r="J14" s="12" t="s">
        <v>90</v>
      </c>
      <c r="K14" s="8" t="s">
        <v>92</v>
      </c>
      <c r="L14" s="12" t="s">
        <v>90</v>
      </c>
      <c r="M14" s="8" t="s">
        <v>93</v>
      </c>
    </row>
    <row r="15" spans="1:13" x14ac:dyDescent="0.35">
      <c r="A15" s="13">
        <v>14</v>
      </c>
      <c r="B15" s="8" t="s">
        <v>90</v>
      </c>
      <c r="C15" s="9" t="s">
        <v>18</v>
      </c>
      <c r="D15" s="10" t="s">
        <v>106</v>
      </c>
      <c r="E15" s="8" t="s">
        <v>4</v>
      </c>
      <c r="F15" s="8">
        <v>14</v>
      </c>
      <c r="G15" s="11"/>
      <c r="H15" s="8"/>
      <c r="I15" s="11" t="str">
        <f>IF(G15="","-",IF(G15&gt;=75,"LULUS (KOMPETEN)","PERLU PENGAYAAN"))</f>
        <v>-</v>
      </c>
      <c r="J15" s="12" t="s">
        <v>90</v>
      </c>
      <c r="K15" s="8" t="s">
        <v>92</v>
      </c>
      <c r="L15" s="12" t="s">
        <v>90</v>
      </c>
      <c r="M15" s="8" t="s">
        <v>93</v>
      </c>
    </row>
    <row r="16" spans="1:13" x14ac:dyDescent="0.35">
      <c r="A16" s="8">
        <v>15</v>
      </c>
      <c r="B16" s="8" t="s">
        <v>90</v>
      </c>
      <c r="C16" s="9" t="s">
        <v>19</v>
      </c>
      <c r="D16" s="10" t="s">
        <v>107</v>
      </c>
      <c r="E16" s="8" t="s">
        <v>4</v>
      </c>
      <c r="F16" s="8">
        <v>11</v>
      </c>
      <c r="G16" s="11"/>
      <c r="H16" s="8"/>
      <c r="I16" s="11" t="str">
        <f>IF(G16="","-",IF(G16&gt;=75,"LULUS (KOMPETEN)","PERLU PENGAYAAN"))</f>
        <v>-</v>
      </c>
      <c r="J16" s="12" t="s">
        <v>90</v>
      </c>
      <c r="K16" s="8" t="s">
        <v>92</v>
      </c>
      <c r="L16" s="12" t="s">
        <v>90</v>
      </c>
      <c r="M16" s="8" t="s">
        <v>93</v>
      </c>
    </row>
    <row r="17" spans="1:13" x14ac:dyDescent="0.35">
      <c r="A17" s="13">
        <v>16</v>
      </c>
      <c r="B17" s="8" t="s">
        <v>90</v>
      </c>
      <c r="C17" s="9" t="s">
        <v>20</v>
      </c>
      <c r="D17" s="10" t="s">
        <v>108</v>
      </c>
      <c r="E17" s="8" t="s">
        <v>4</v>
      </c>
      <c r="F17" s="8">
        <v>18</v>
      </c>
      <c r="G17" s="11"/>
      <c r="H17" s="8"/>
      <c r="I17" s="11" t="str">
        <f>IF(G17="","-",IF(G17&gt;=75,"LULUS (KOMPETEN)","PERLU PENGAYAAN"))</f>
        <v>-</v>
      </c>
      <c r="J17" s="12" t="s">
        <v>90</v>
      </c>
      <c r="K17" s="8" t="s">
        <v>92</v>
      </c>
      <c r="L17" s="12" t="s">
        <v>90</v>
      </c>
      <c r="M17" s="8" t="s">
        <v>93</v>
      </c>
    </row>
    <row r="18" spans="1:13" x14ac:dyDescent="0.35">
      <c r="A18" s="8">
        <v>17</v>
      </c>
      <c r="B18" s="8" t="s">
        <v>90</v>
      </c>
      <c r="C18" s="9" t="s">
        <v>21</v>
      </c>
      <c r="D18" s="10" t="s">
        <v>109</v>
      </c>
      <c r="E18" s="8" t="s">
        <v>4</v>
      </c>
      <c r="F18" s="8">
        <v>10</v>
      </c>
      <c r="G18" s="11"/>
      <c r="H18" s="8"/>
      <c r="I18" s="11" t="str">
        <f>IF(G18="","-",IF(G18&gt;=75,"LULUS (KOMPETEN)","PERLU PENGAYAAN"))</f>
        <v>-</v>
      </c>
      <c r="J18" s="12" t="s">
        <v>90</v>
      </c>
      <c r="K18" s="8" t="s">
        <v>92</v>
      </c>
      <c r="L18" s="12" t="s">
        <v>90</v>
      </c>
      <c r="M18" s="8" t="s">
        <v>93</v>
      </c>
    </row>
    <row r="19" spans="1:13" x14ac:dyDescent="0.35">
      <c r="A19" s="13">
        <v>18</v>
      </c>
      <c r="B19" s="8" t="s">
        <v>90</v>
      </c>
      <c r="C19" s="9" t="s">
        <v>22</v>
      </c>
      <c r="D19" s="10" t="s">
        <v>110</v>
      </c>
      <c r="E19" s="8" t="s">
        <v>4</v>
      </c>
      <c r="F19" s="8">
        <v>15</v>
      </c>
      <c r="G19" s="11"/>
      <c r="H19" s="8"/>
      <c r="I19" s="11" t="str">
        <f>IF(G19="","-",IF(G19&gt;=75,"LULUS (KOMPETEN)","PERLU PENGAYAAN"))</f>
        <v>-</v>
      </c>
      <c r="J19" s="12" t="s">
        <v>90</v>
      </c>
      <c r="K19" s="8" t="s">
        <v>92</v>
      </c>
      <c r="L19" s="12" t="s">
        <v>90</v>
      </c>
      <c r="M19" s="8" t="s">
        <v>93</v>
      </c>
    </row>
    <row r="20" spans="1:13" x14ac:dyDescent="0.35">
      <c r="A20" s="8">
        <v>19</v>
      </c>
      <c r="B20" s="8" t="s">
        <v>90</v>
      </c>
      <c r="C20" s="9" t="s">
        <v>23</v>
      </c>
      <c r="D20" s="10" t="s">
        <v>111</v>
      </c>
      <c r="E20" s="8" t="s">
        <v>4</v>
      </c>
      <c r="F20" s="8">
        <v>8</v>
      </c>
      <c r="G20" s="11"/>
      <c r="H20" s="8"/>
      <c r="I20" s="11" t="str">
        <f>IF(G20="","-",IF(G20&gt;=75,"LULUS (KOMPETEN)","PERLU PENGAYAAN"))</f>
        <v>-</v>
      </c>
      <c r="J20" s="12" t="s">
        <v>90</v>
      </c>
      <c r="K20" s="8" t="s">
        <v>92</v>
      </c>
      <c r="L20" s="12" t="s">
        <v>90</v>
      </c>
      <c r="M20" s="8" t="s">
        <v>93</v>
      </c>
    </row>
    <row r="21" spans="1:13" x14ac:dyDescent="0.35">
      <c r="A21" s="13">
        <v>20</v>
      </c>
      <c r="B21" s="8" t="s">
        <v>90</v>
      </c>
      <c r="C21" s="9" t="s">
        <v>24</v>
      </c>
      <c r="D21" s="10" t="s">
        <v>112</v>
      </c>
      <c r="E21" s="8" t="s">
        <v>4</v>
      </c>
      <c r="F21" s="8">
        <v>9</v>
      </c>
      <c r="G21" s="11"/>
      <c r="H21" s="8"/>
      <c r="I21" s="11" t="str">
        <f>IF(G21="","-",IF(G21&gt;=75,"LULUS (KOMPETEN)","PERLU PENGAYAAN"))</f>
        <v>-</v>
      </c>
      <c r="J21" s="12" t="s">
        <v>90</v>
      </c>
      <c r="K21" s="8" t="s">
        <v>92</v>
      </c>
      <c r="L21" s="12" t="s">
        <v>90</v>
      </c>
      <c r="M21" s="8" t="s">
        <v>93</v>
      </c>
    </row>
    <row r="22" spans="1:13" x14ac:dyDescent="0.35">
      <c r="A22" s="8">
        <v>21</v>
      </c>
      <c r="B22" s="8" t="s">
        <v>90</v>
      </c>
      <c r="C22" s="9" t="s">
        <v>25</v>
      </c>
      <c r="D22" s="10" t="s">
        <v>113</v>
      </c>
      <c r="E22" s="8" t="s">
        <v>4</v>
      </c>
      <c r="F22" s="8">
        <v>16</v>
      </c>
      <c r="G22" s="11"/>
      <c r="H22" s="8"/>
      <c r="I22" s="11" t="str">
        <f>IF(G22="","-",IF(G22&gt;=75,"LULUS (KOMPETEN)","PERLU PENGAYAAN"))</f>
        <v>-</v>
      </c>
      <c r="J22" s="12" t="s">
        <v>90</v>
      </c>
      <c r="K22" s="8" t="s">
        <v>92</v>
      </c>
      <c r="L22" s="12" t="s">
        <v>90</v>
      </c>
      <c r="M22" s="8" t="s">
        <v>93</v>
      </c>
    </row>
    <row r="23" spans="1:13" x14ac:dyDescent="0.35">
      <c r="A23" s="13">
        <v>22</v>
      </c>
      <c r="B23" s="8" t="s">
        <v>90</v>
      </c>
      <c r="C23" s="9" t="s">
        <v>26</v>
      </c>
      <c r="D23" s="10" t="s">
        <v>114</v>
      </c>
      <c r="E23" s="8" t="s">
        <v>4</v>
      </c>
      <c r="F23" s="8">
        <v>18</v>
      </c>
      <c r="G23" s="11"/>
      <c r="H23" s="8"/>
      <c r="I23" s="11" t="str">
        <f>IF(G23="","-",IF(G23&gt;=75,"LULUS (KOMPETEN)","PERLU PENGAYAAN"))</f>
        <v>-</v>
      </c>
      <c r="J23" s="12" t="s">
        <v>90</v>
      </c>
      <c r="K23" s="8" t="s">
        <v>92</v>
      </c>
      <c r="L23" s="12" t="s">
        <v>90</v>
      </c>
      <c r="M23" s="8" t="s">
        <v>93</v>
      </c>
    </row>
    <row r="24" spans="1:13" x14ac:dyDescent="0.35">
      <c r="A24" s="8">
        <v>23</v>
      </c>
      <c r="B24" s="8" t="s">
        <v>90</v>
      </c>
      <c r="C24" s="9" t="s">
        <v>27</v>
      </c>
      <c r="D24" s="10" t="s">
        <v>115</v>
      </c>
      <c r="E24" s="8" t="s">
        <v>4</v>
      </c>
      <c r="F24" s="8">
        <v>6</v>
      </c>
      <c r="G24" s="11"/>
      <c r="H24" s="8"/>
      <c r="I24" s="11" t="str">
        <f>IF(G24="","-",IF(G24&gt;=75,"LULUS (KOMPETEN)","PERLU PENGAYAAN"))</f>
        <v>-</v>
      </c>
      <c r="J24" s="12" t="s">
        <v>90</v>
      </c>
      <c r="K24" s="8" t="s">
        <v>92</v>
      </c>
      <c r="L24" s="12" t="s">
        <v>90</v>
      </c>
      <c r="M24" s="8" t="s">
        <v>93</v>
      </c>
    </row>
    <row r="25" spans="1:13" x14ac:dyDescent="0.35">
      <c r="A25" s="13">
        <v>24</v>
      </c>
      <c r="B25" s="8" t="s">
        <v>90</v>
      </c>
      <c r="C25" s="9" t="s">
        <v>28</v>
      </c>
      <c r="D25" s="10" t="s">
        <v>116</v>
      </c>
      <c r="E25" s="8" t="s">
        <v>4</v>
      </c>
      <c r="F25" s="8">
        <v>2</v>
      </c>
      <c r="G25" s="11"/>
      <c r="H25" s="8"/>
      <c r="I25" s="11" t="str">
        <f>IF(G25="","-",IF(G25&gt;=75,"LULUS (KOMPETEN)","PERLU PENGAYAAN"))</f>
        <v>-</v>
      </c>
      <c r="J25" s="12" t="s">
        <v>90</v>
      </c>
      <c r="K25" s="8" t="s">
        <v>92</v>
      </c>
      <c r="L25" s="12" t="s">
        <v>90</v>
      </c>
      <c r="M25" s="8" t="s">
        <v>93</v>
      </c>
    </row>
    <row r="26" spans="1:13" x14ac:dyDescent="0.35">
      <c r="A26" s="8">
        <v>25</v>
      </c>
      <c r="B26" s="8" t="s">
        <v>90</v>
      </c>
      <c r="C26" s="9" t="s">
        <v>29</v>
      </c>
      <c r="D26" s="10" t="s">
        <v>117</v>
      </c>
      <c r="E26" s="8" t="s">
        <v>4</v>
      </c>
      <c r="F26" s="8">
        <v>15</v>
      </c>
      <c r="G26" s="11"/>
      <c r="H26" s="8"/>
      <c r="I26" s="11" t="str">
        <f>IF(G26="","-",IF(G26&gt;=75,"LULUS (KOMPETEN)","PERLU PENGAYAAN"))</f>
        <v>-</v>
      </c>
      <c r="J26" s="12" t="s">
        <v>90</v>
      </c>
      <c r="K26" s="8" t="s">
        <v>92</v>
      </c>
      <c r="L26" s="12" t="s">
        <v>90</v>
      </c>
      <c r="M26" s="8" t="s">
        <v>93</v>
      </c>
    </row>
    <row r="27" spans="1:13" x14ac:dyDescent="0.35">
      <c r="A27" s="13">
        <v>26</v>
      </c>
      <c r="B27" s="8" t="s">
        <v>90</v>
      </c>
      <c r="C27" s="9" t="s">
        <v>30</v>
      </c>
      <c r="D27" s="10" t="s">
        <v>118</v>
      </c>
      <c r="E27" s="8" t="s">
        <v>4</v>
      </c>
      <c r="F27" s="8">
        <v>2</v>
      </c>
      <c r="G27" s="11"/>
      <c r="H27" s="8"/>
      <c r="I27" s="11" t="str">
        <f>IF(G27="","-",IF(G27&gt;=75,"LULUS (KOMPETEN)","PERLU PENGAYAAN"))</f>
        <v>-</v>
      </c>
      <c r="J27" s="12" t="s">
        <v>90</v>
      </c>
      <c r="K27" s="8" t="s">
        <v>92</v>
      </c>
      <c r="L27" s="12" t="s">
        <v>90</v>
      </c>
      <c r="M27" s="8" t="s">
        <v>93</v>
      </c>
    </row>
    <row r="28" spans="1:13" x14ac:dyDescent="0.35">
      <c r="A28" s="8">
        <v>27</v>
      </c>
      <c r="B28" s="8" t="s">
        <v>90</v>
      </c>
      <c r="C28" s="9" t="s">
        <v>31</v>
      </c>
      <c r="D28" s="10" t="s">
        <v>119</v>
      </c>
      <c r="E28" s="8" t="s">
        <v>4</v>
      </c>
      <c r="F28" s="8">
        <v>4</v>
      </c>
      <c r="G28" s="11"/>
      <c r="H28" s="8"/>
      <c r="I28" s="11" t="str">
        <f>IF(G28="","-",IF(G28&gt;=75,"LULUS (KOMPETEN)","PERLU PENGAYAAN"))</f>
        <v>-</v>
      </c>
      <c r="J28" s="12" t="s">
        <v>90</v>
      </c>
      <c r="K28" s="8" t="s">
        <v>92</v>
      </c>
      <c r="L28" s="12" t="s">
        <v>90</v>
      </c>
      <c r="M28" s="8" t="s">
        <v>93</v>
      </c>
    </row>
    <row r="29" spans="1:13" x14ac:dyDescent="0.35">
      <c r="A29" s="13">
        <v>28</v>
      </c>
      <c r="B29" s="8" t="s">
        <v>90</v>
      </c>
      <c r="C29" s="9" t="s">
        <v>32</v>
      </c>
      <c r="D29" s="10" t="s">
        <v>120</v>
      </c>
      <c r="E29" s="8" t="s">
        <v>4</v>
      </c>
      <c r="F29" s="8">
        <v>10</v>
      </c>
      <c r="G29" s="11"/>
      <c r="H29" s="8"/>
      <c r="I29" s="11" t="str">
        <f>IF(G29="","-",IF(G29&gt;=75,"LULUS (KOMPETEN)","PERLU PENGAYAAN"))</f>
        <v>-</v>
      </c>
      <c r="J29" s="12" t="s">
        <v>90</v>
      </c>
      <c r="K29" s="8" t="s">
        <v>92</v>
      </c>
      <c r="L29" s="12" t="s">
        <v>90</v>
      </c>
      <c r="M29" s="8" t="s">
        <v>93</v>
      </c>
    </row>
    <row r="30" spans="1:13" x14ac:dyDescent="0.35">
      <c r="A30" s="8">
        <v>29</v>
      </c>
      <c r="B30" s="8" t="s">
        <v>90</v>
      </c>
      <c r="C30" s="9" t="s">
        <v>33</v>
      </c>
      <c r="D30" s="10" t="s">
        <v>121</v>
      </c>
      <c r="E30" s="8" t="s">
        <v>4</v>
      </c>
      <c r="F30" s="8">
        <v>17</v>
      </c>
      <c r="G30" s="11"/>
      <c r="H30" s="8"/>
      <c r="I30" s="11" t="str">
        <f>IF(G30="","-",IF(G30&gt;=75,"LULUS (KOMPETEN)","PERLU PENGAYAAN"))</f>
        <v>-</v>
      </c>
      <c r="J30" s="12" t="s">
        <v>90</v>
      </c>
      <c r="K30" s="8" t="s">
        <v>92</v>
      </c>
      <c r="L30" s="12" t="s">
        <v>90</v>
      </c>
      <c r="M30" s="8" t="s">
        <v>93</v>
      </c>
    </row>
    <row r="31" spans="1:13" x14ac:dyDescent="0.35">
      <c r="A31" s="13">
        <v>30</v>
      </c>
      <c r="B31" s="8" t="s">
        <v>90</v>
      </c>
      <c r="C31" s="9" t="s">
        <v>34</v>
      </c>
      <c r="D31" s="10" t="s">
        <v>122</v>
      </c>
      <c r="E31" s="8" t="s">
        <v>4</v>
      </c>
      <c r="F31" s="8">
        <v>9</v>
      </c>
      <c r="G31" s="11"/>
      <c r="H31" s="8"/>
      <c r="I31" s="11" t="str">
        <f>IF(G31="","-",IF(G31&gt;=75,"LULUS (KOMPETEN)","PERLU PENGAYAAN"))</f>
        <v>-</v>
      </c>
      <c r="J31" s="12" t="s">
        <v>90</v>
      </c>
      <c r="K31" s="8" t="s">
        <v>92</v>
      </c>
      <c r="L31" s="12" t="s">
        <v>90</v>
      </c>
      <c r="M31" s="8" t="s">
        <v>93</v>
      </c>
    </row>
    <row r="32" spans="1:13" x14ac:dyDescent="0.35">
      <c r="A32" s="8">
        <v>31</v>
      </c>
      <c r="B32" s="8" t="s">
        <v>90</v>
      </c>
      <c r="C32" s="9" t="s">
        <v>35</v>
      </c>
      <c r="D32" s="10" t="s">
        <v>123</v>
      </c>
      <c r="E32" s="8" t="s">
        <v>4</v>
      </c>
      <c r="F32" s="8">
        <v>3</v>
      </c>
      <c r="G32" s="11"/>
      <c r="H32" s="8"/>
      <c r="I32" s="11" t="str">
        <f>IF(G32="","-",IF(G32&gt;=75,"LULUS (KOMPETEN)","PERLU PENGAYAAN"))</f>
        <v>-</v>
      </c>
      <c r="J32" s="12" t="s">
        <v>90</v>
      </c>
      <c r="K32" s="8" t="s">
        <v>92</v>
      </c>
      <c r="L32" s="12" t="s">
        <v>90</v>
      </c>
      <c r="M32" s="8" t="s">
        <v>93</v>
      </c>
    </row>
    <row r="33" spans="1:13" x14ac:dyDescent="0.35">
      <c r="A33" s="13">
        <v>32</v>
      </c>
      <c r="B33" s="8" t="s">
        <v>90</v>
      </c>
      <c r="C33" s="9" t="s">
        <v>36</v>
      </c>
      <c r="D33" s="10" t="s">
        <v>124</v>
      </c>
      <c r="E33" s="8" t="s">
        <v>4</v>
      </c>
      <c r="F33" s="8">
        <v>4</v>
      </c>
      <c r="G33" s="11"/>
      <c r="H33" s="8"/>
      <c r="I33" s="11" t="str">
        <f>IF(G33="","-",IF(G33&gt;=75,"LULUS (KOMPETEN)","PERLU PENGAYAAN"))</f>
        <v>-</v>
      </c>
      <c r="J33" s="12" t="s">
        <v>90</v>
      </c>
      <c r="K33" s="8" t="s">
        <v>92</v>
      </c>
      <c r="L33" s="12" t="s">
        <v>90</v>
      </c>
      <c r="M33" s="8" t="s">
        <v>93</v>
      </c>
    </row>
    <row r="34" spans="1:13" x14ac:dyDescent="0.35">
      <c r="A34" s="8">
        <v>33</v>
      </c>
      <c r="B34" s="8" t="s">
        <v>90</v>
      </c>
      <c r="C34" s="9" t="s">
        <v>37</v>
      </c>
      <c r="D34" s="10" t="s">
        <v>125</v>
      </c>
      <c r="E34" s="8" t="s">
        <v>4</v>
      </c>
      <c r="F34" s="8">
        <v>16</v>
      </c>
      <c r="G34" s="11"/>
      <c r="H34" s="8"/>
      <c r="I34" s="11" t="str">
        <f>IF(G34="","-",IF(G34&gt;=75,"LULUS (KOMPETEN)","PERLU PENGAYAAN"))</f>
        <v>-</v>
      </c>
      <c r="J34" s="12" t="s">
        <v>90</v>
      </c>
      <c r="K34" s="8" t="s">
        <v>92</v>
      </c>
      <c r="L34" s="12" t="s">
        <v>90</v>
      </c>
      <c r="M34" s="8" t="s">
        <v>93</v>
      </c>
    </row>
    <row r="35" spans="1:13" x14ac:dyDescent="0.35">
      <c r="A35" s="13">
        <v>34</v>
      </c>
      <c r="B35" s="8" t="s">
        <v>90</v>
      </c>
      <c r="C35" s="9" t="s">
        <v>38</v>
      </c>
      <c r="D35" s="10" t="s">
        <v>126</v>
      </c>
      <c r="E35" s="8" t="s">
        <v>4</v>
      </c>
      <c r="F35" s="8">
        <v>14</v>
      </c>
      <c r="G35" s="11"/>
      <c r="H35" s="8"/>
      <c r="I35" s="11" t="str">
        <f>IF(G35="","-",IF(G35&gt;=75,"LULUS (KOMPETEN)","PERLU PENGAYAAN"))</f>
        <v>-</v>
      </c>
      <c r="J35" s="12" t="s">
        <v>90</v>
      </c>
      <c r="K35" s="8" t="s">
        <v>92</v>
      </c>
      <c r="L35" s="12" t="s">
        <v>90</v>
      </c>
      <c r="M35" s="8" t="s">
        <v>93</v>
      </c>
    </row>
    <row r="36" spans="1:13" x14ac:dyDescent="0.35">
      <c r="A36" s="8">
        <v>35</v>
      </c>
      <c r="B36" s="8" t="s">
        <v>90</v>
      </c>
      <c r="C36" s="9" t="s">
        <v>39</v>
      </c>
      <c r="D36" s="10" t="s">
        <v>127</v>
      </c>
      <c r="E36" s="8" t="s">
        <v>4</v>
      </c>
      <c r="F36" s="8">
        <v>8</v>
      </c>
      <c r="G36" s="11"/>
      <c r="H36" s="8"/>
      <c r="I36" s="11" t="str">
        <f>IF(G36="","-",IF(G36&gt;=75,"LULUS (KOMPETEN)","PERLU PENGAYAAN"))</f>
        <v>-</v>
      </c>
      <c r="J36" s="12" t="s">
        <v>90</v>
      </c>
      <c r="K36" s="8" t="s">
        <v>92</v>
      </c>
      <c r="L36" s="12" t="s">
        <v>90</v>
      </c>
      <c r="M36" s="8" t="s">
        <v>93</v>
      </c>
    </row>
    <row r="37" spans="1:13" x14ac:dyDescent="0.35">
      <c r="A37" s="13">
        <v>36</v>
      </c>
      <c r="B37" s="8" t="s">
        <v>90</v>
      </c>
      <c r="C37" s="9" t="s">
        <v>40</v>
      </c>
      <c r="D37" s="10" t="s">
        <v>128</v>
      </c>
      <c r="E37" s="8" t="s">
        <v>4</v>
      </c>
      <c r="F37" s="8">
        <v>17</v>
      </c>
      <c r="G37" s="11"/>
      <c r="H37" s="8"/>
      <c r="I37" s="11" t="str">
        <f>IF(G37="","-",IF(G37&gt;=75,"LULUS (KOMPETEN)","PERLU PENGAYAAN"))</f>
        <v>-</v>
      </c>
      <c r="J37" s="12" t="s">
        <v>90</v>
      </c>
      <c r="K37" s="8" t="s">
        <v>92</v>
      </c>
      <c r="L37" s="12" t="s">
        <v>90</v>
      </c>
      <c r="M37" s="8" t="s">
        <v>93</v>
      </c>
    </row>
    <row r="39" spans="1:13" x14ac:dyDescent="0.35">
      <c r="F39" s="3" t="s">
        <v>129</v>
      </c>
      <c r="G39" s="4" t="str">
        <f>IFERROR(ROUND(AVERAGE(G2:G37), 1), "-")</f>
        <v>-</v>
      </c>
    </row>
    <row r="40" spans="1:13" x14ac:dyDescent="0.35">
      <c r="F40" s="3" t="s">
        <v>130</v>
      </c>
      <c r="G40" s="2">
        <f>IFERROR(MAX(G2:G37), "-")</f>
        <v>0</v>
      </c>
    </row>
    <row r="41" spans="1:13" x14ac:dyDescent="0.35">
      <c r="F41" s="3" t="s">
        <v>131</v>
      </c>
      <c r="G41" s="2">
        <f>IFERROR(MIN(G2:G37), "-")</f>
        <v>0</v>
      </c>
    </row>
    <row r="42" spans="1:13" x14ac:dyDescent="0.35">
      <c r="F42" s="3" t="s">
        <v>132</v>
      </c>
      <c r="G42" s="5">
        <f>COUNTIF(G2:G37, "&gt;=75")</f>
        <v>0</v>
      </c>
    </row>
    <row r="43" spans="1:13" x14ac:dyDescent="0.35">
      <c r="F43" s="3" t="s">
        <v>133</v>
      </c>
      <c r="G43" s="6" t="str">
        <f>IFERROR(ROUND(COUNTIF(G2:G37, "&gt;=75") / COUNTA(C2:C37) * 100, 1) &amp; "%", "0%")</f>
        <v>0%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6F2D-6F7E-40C9-A853-613497A60E21}">
  <dimension ref="A1:N37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6.6328125" customWidth="1"/>
    <col min="2" max="2" width="19.6328125" customWidth="1"/>
    <col min="3" max="3" width="32.6328125" customWidth="1"/>
    <col min="4" max="5" width="10.6328125" customWidth="1"/>
    <col min="6" max="6" width="11.6328125" customWidth="1"/>
    <col min="7" max="7" width="16.6328125" customWidth="1"/>
    <col min="8" max="8" width="13.6328125" customWidth="1"/>
    <col min="9" max="9" width="22.6328125" customWidth="1"/>
    <col min="10" max="12" width="18.6328125" customWidth="1"/>
    <col min="13" max="13" width="28.6328125" customWidth="1"/>
    <col min="14" max="14" width="14.6328125" customWidth="1"/>
  </cols>
  <sheetData>
    <row r="1" spans="1:14" ht="28" customHeight="1" x14ac:dyDescent="0.35">
      <c r="A1" s="14" t="s">
        <v>3</v>
      </c>
      <c r="B1" s="14" t="s">
        <v>80</v>
      </c>
      <c r="C1" s="14" t="s">
        <v>81</v>
      </c>
      <c r="D1" s="14" t="s">
        <v>1</v>
      </c>
      <c r="E1" s="14" t="s">
        <v>2</v>
      </c>
      <c r="F1" s="14" t="s">
        <v>82</v>
      </c>
      <c r="G1" s="14" t="s">
        <v>134</v>
      </c>
      <c r="H1" s="14" t="s">
        <v>84</v>
      </c>
      <c r="I1" s="14" t="s">
        <v>135</v>
      </c>
      <c r="J1" s="14" t="s">
        <v>136</v>
      </c>
      <c r="K1" s="14" t="s">
        <v>137</v>
      </c>
      <c r="L1" s="14" t="s">
        <v>138</v>
      </c>
      <c r="M1" s="14" t="s">
        <v>86</v>
      </c>
      <c r="N1" s="14" t="s">
        <v>89</v>
      </c>
    </row>
    <row r="2" spans="1:14" x14ac:dyDescent="0.35">
      <c r="A2" s="8">
        <v>1</v>
      </c>
      <c r="B2" s="8" t="s">
        <v>90</v>
      </c>
      <c r="C2" s="9" t="s">
        <v>5</v>
      </c>
      <c r="D2" s="10" t="s">
        <v>91</v>
      </c>
      <c r="E2" s="8" t="s">
        <v>4</v>
      </c>
      <c r="F2" s="8">
        <v>12</v>
      </c>
      <c r="G2" s="11"/>
      <c r="H2" s="8"/>
      <c r="I2" s="12" t="s">
        <v>90</v>
      </c>
      <c r="J2" s="12" t="s">
        <v>90</v>
      </c>
      <c r="K2" s="12" t="s">
        <v>90</v>
      </c>
      <c r="L2" s="12" t="s">
        <v>90</v>
      </c>
      <c r="M2" s="12" t="s">
        <v>90</v>
      </c>
      <c r="N2" s="8" t="s">
        <v>93</v>
      </c>
    </row>
    <row r="3" spans="1:14" x14ac:dyDescent="0.35">
      <c r="A3" s="13">
        <v>2</v>
      </c>
      <c r="B3" s="8" t="s">
        <v>90</v>
      </c>
      <c r="C3" s="9" t="s">
        <v>6</v>
      </c>
      <c r="D3" s="10" t="s">
        <v>94</v>
      </c>
      <c r="E3" s="8" t="s">
        <v>4</v>
      </c>
      <c r="F3" s="8">
        <v>12</v>
      </c>
      <c r="G3" s="11"/>
      <c r="H3" s="8"/>
      <c r="I3" s="12" t="s">
        <v>90</v>
      </c>
      <c r="J3" s="12" t="s">
        <v>90</v>
      </c>
      <c r="K3" s="12" t="s">
        <v>90</v>
      </c>
      <c r="L3" s="12" t="s">
        <v>90</v>
      </c>
      <c r="M3" s="12" t="s">
        <v>90</v>
      </c>
      <c r="N3" s="8" t="s">
        <v>93</v>
      </c>
    </row>
    <row r="4" spans="1:14" x14ac:dyDescent="0.35">
      <c r="A4" s="8">
        <v>3</v>
      </c>
      <c r="B4" s="8" t="s">
        <v>90</v>
      </c>
      <c r="C4" s="9" t="s">
        <v>7</v>
      </c>
      <c r="D4" s="10" t="s">
        <v>95</v>
      </c>
      <c r="E4" s="8" t="s">
        <v>4</v>
      </c>
      <c r="F4" s="8">
        <v>5</v>
      </c>
      <c r="G4" s="11"/>
      <c r="H4" s="8"/>
      <c r="I4" s="12" t="s">
        <v>90</v>
      </c>
      <c r="J4" s="12" t="s">
        <v>90</v>
      </c>
      <c r="K4" s="12" t="s">
        <v>90</v>
      </c>
      <c r="L4" s="12" t="s">
        <v>90</v>
      </c>
      <c r="M4" s="12" t="s">
        <v>90</v>
      </c>
      <c r="N4" s="8" t="s">
        <v>93</v>
      </c>
    </row>
    <row r="5" spans="1:14" x14ac:dyDescent="0.35">
      <c r="A5" s="13">
        <v>4</v>
      </c>
      <c r="B5" s="8" t="s">
        <v>90</v>
      </c>
      <c r="C5" s="9" t="s">
        <v>8</v>
      </c>
      <c r="D5" s="10" t="s">
        <v>96</v>
      </c>
      <c r="E5" s="8" t="s">
        <v>4</v>
      </c>
      <c r="F5" s="8">
        <v>13</v>
      </c>
      <c r="G5" s="11"/>
      <c r="H5" s="8"/>
      <c r="I5" s="12" t="s">
        <v>90</v>
      </c>
      <c r="J5" s="12" t="s">
        <v>90</v>
      </c>
      <c r="K5" s="12" t="s">
        <v>90</v>
      </c>
      <c r="L5" s="12" t="s">
        <v>90</v>
      </c>
      <c r="M5" s="12" t="s">
        <v>90</v>
      </c>
      <c r="N5" s="8" t="s">
        <v>93</v>
      </c>
    </row>
    <row r="6" spans="1:14" x14ac:dyDescent="0.35">
      <c r="A6" s="8">
        <v>5</v>
      </c>
      <c r="B6" s="8" t="s">
        <v>90</v>
      </c>
      <c r="C6" s="9" t="s">
        <v>9</v>
      </c>
      <c r="D6" s="10" t="s">
        <v>97</v>
      </c>
      <c r="E6" s="8" t="s">
        <v>4</v>
      </c>
      <c r="F6" s="8">
        <v>1</v>
      </c>
      <c r="G6" s="11"/>
      <c r="H6" s="8"/>
      <c r="I6" s="12" t="s">
        <v>90</v>
      </c>
      <c r="J6" s="12" t="s">
        <v>90</v>
      </c>
      <c r="K6" s="12" t="s">
        <v>90</v>
      </c>
      <c r="L6" s="12" t="s">
        <v>90</v>
      </c>
      <c r="M6" s="12" t="s">
        <v>90</v>
      </c>
      <c r="N6" s="8" t="s">
        <v>93</v>
      </c>
    </row>
    <row r="7" spans="1:14" x14ac:dyDescent="0.35">
      <c r="A7" s="13">
        <v>6</v>
      </c>
      <c r="B7" s="8" t="s">
        <v>90</v>
      </c>
      <c r="C7" s="9" t="s">
        <v>10</v>
      </c>
      <c r="D7" s="10" t="s">
        <v>98</v>
      </c>
      <c r="E7" s="8" t="s">
        <v>4</v>
      </c>
      <c r="F7" s="8">
        <v>6</v>
      </c>
      <c r="G7" s="11"/>
      <c r="H7" s="8"/>
      <c r="I7" s="12" t="s">
        <v>90</v>
      </c>
      <c r="J7" s="12" t="s">
        <v>90</v>
      </c>
      <c r="K7" s="12" t="s">
        <v>90</v>
      </c>
      <c r="L7" s="12" t="s">
        <v>90</v>
      </c>
      <c r="M7" s="12" t="s">
        <v>90</v>
      </c>
      <c r="N7" s="8" t="s">
        <v>93</v>
      </c>
    </row>
    <row r="8" spans="1:14" x14ac:dyDescent="0.35">
      <c r="A8" s="8">
        <v>7</v>
      </c>
      <c r="B8" s="8" t="s">
        <v>90</v>
      </c>
      <c r="C8" s="9" t="s">
        <v>11</v>
      </c>
      <c r="D8" s="10" t="s">
        <v>99</v>
      </c>
      <c r="E8" s="8" t="s">
        <v>4</v>
      </c>
      <c r="F8" s="8">
        <v>5</v>
      </c>
      <c r="G8" s="11"/>
      <c r="H8" s="8"/>
      <c r="I8" s="12" t="s">
        <v>90</v>
      </c>
      <c r="J8" s="12" t="s">
        <v>90</v>
      </c>
      <c r="K8" s="12" t="s">
        <v>90</v>
      </c>
      <c r="L8" s="12" t="s">
        <v>90</v>
      </c>
      <c r="M8" s="12" t="s">
        <v>90</v>
      </c>
      <c r="N8" s="8" t="s">
        <v>93</v>
      </c>
    </row>
    <row r="9" spans="1:14" x14ac:dyDescent="0.35">
      <c r="A9" s="13">
        <v>8</v>
      </c>
      <c r="B9" s="8" t="s">
        <v>90</v>
      </c>
      <c r="C9" s="9" t="s">
        <v>12</v>
      </c>
      <c r="D9" s="10" t="s">
        <v>100</v>
      </c>
      <c r="E9" s="8" t="s">
        <v>4</v>
      </c>
      <c r="F9" s="8">
        <v>1</v>
      </c>
      <c r="G9" s="11"/>
      <c r="H9" s="8"/>
      <c r="I9" s="12" t="s">
        <v>90</v>
      </c>
      <c r="J9" s="12" t="s">
        <v>90</v>
      </c>
      <c r="K9" s="12" t="s">
        <v>90</v>
      </c>
      <c r="L9" s="12" t="s">
        <v>90</v>
      </c>
      <c r="M9" s="12" t="s">
        <v>90</v>
      </c>
      <c r="N9" s="8" t="s">
        <v>93</v>
      </c>
    </row>
    <row r="10" spans="1:14" x14ac:dyDescent="0.35">
      <c r="A10" s="8">
        <v>9</v>
      </c>
      <c r="B10" s="8" t="s">
        <v>90</v>
      </c>
      <c r="C10" s="9" t="s">
        <v>13</v>
      </c>
      <c r="D10" s="10" t="s">
        <v>101</v>
      </c>
      <c r="E10" s="8" t="s">
        <v>4</v>
      </c>
      <c r="F10" s="8">
        <v>13</v>
      </c>
      <c r="G10" s="11"/>
      <c r="H10" s="8"/>
      <c r="I10" s="12" t="s">
        <v>90</v>
      </c>
      <c r="J10" s="12" t="s">
        <v>90</v>
      </c>
      <c r="K10" s="12" t="s">
        <v>90</v>
      </c>
      <c r="L10" s="12" t="s">
        <v>90</v>
      </c>
      <c r="M10" s="12" t="s">
        <v>90</v>
      </c>
      <c r="N10" s="8" t="s">
        <v>93</v>
      </c>
    </row>
    <row r="11" spans="1:14" x14ac:dyDescent="0.35">
      <c r="A11" s="13">
        <v>10</v>
      </c>
      <c r="B11" s="8" t="s">
        <v>90</v>
      </c>
      <c r="C11" s="9" t="s">
        <v>14</v>
      </c>
      <c r="D11" s="10" t="s">
        <v>102</v>
      </c>
      <c r="E11" s="8" t="s">
        <v>4</v>
      </c>
      <c r="F11" s="8">
        <v>11</v>
      </c>
      <c r="G11" s="11"/>
      <c r="H11" s="8"/>
      <c r="I11" s="12" t="s">
        <v>90</v>
      </c>
      <c r="J11" s="12" t="s">
        <v>90</v>
      </c>
      <c r="K11" s="12" t="s">
        <v>90</v>
      </c>
      <c r="L11" s="12" t="s">
        <v>90</v>
      </c>
      <c r="M11" s="12" t="s">
        <v>90</v>
      </c>
      <c r="N11" s="8" t="s">
        <v>93</v>
      </c>
    </row>
    <row r="12" spans="1:14" x14ac:dyDescent="0.35">
      <c r="A12" s="8">
        <v>11</v>
      </c>
      <c r="B12" s="8" t="s">
        <v>90</v>
      </c>
      <c r="C12" s="9" t="s">
        <v>15</v>
      </c>
      <c r="D12" s="10" t="s">
        <v>103</v>
      </c>
      <c r="E12" s="8" t="s">
        <v>4</v>
      </c>
      <c r="F12" s="8">
        <v>7</v>
      </c>
      <c r="G12" s="11"/>
      <c r="H12" s="8"/>
      <c r="I12" s="12" t="s">
        <v>90</v>
      </c>
      <c r="J12" s="12" t="s">
        <v>90</v>
      </c>
      <c r="K12" s="12" t="s">
        <v>90</v>
      </c>
      <c r="L12" s="12" t="s">
        <v>90</v>
      </c>
      <c r="M12" s="12" t="s">
        <v>90</v>
      </c>
      <c r="N12" s="8" t="s">
        <v>93</v>
      </c>
    </row>
    <row r="13" spans="1:14" x14ac:dyDescent="0.35">
      <c r="A13" s="13">
        <v>12</v>
      </c>
      <c r="B13" s="8" t="s">
        <v>90</v>
      </c>
      <c r="C13" s="9" t="s">
        <v>16</v>
      </c>
      <c r="D13" s="10" t="s">
        <v>104</v>
      </c>
      <c r="E13" s="8" t="s">
        <v>4</v>
      </c>
      <c r="F13" s="8">
        <v>7</v>
      </c>
      <c r="G13" s="11"/>
      <c r="H13" s="8"/>
      <c r="I13" s="12" t="s">
        <v>90</v>
      </c>
      <c r="J13" s="12" t="s">
        <v>90</v>
      </c>
      <c r="K13" s="12" t="s">
        <v>90</v>
      </c>
      <c r="L13" s="12" t="s">
        <v>90</v>
      </c>
      <c r="M13" s="12" t="s">
        <v>90</v>
      </c>
      <c r="N13" s="8" t="s">
        <v>93</v>
      </c>
    </row>
    <row r="14" spans="1:14" x14ac:dyDescent="0.35">
      <c r="A14" s="8">
        <v>13</v>
      </c>
      <c r="B14" s="8" t="s">
        <v>90</v>
      </c>
      <c r="C14" s="9" t="s">
        <v>17</v>
      </c>
      <c r="D14" s="10" t="s">
        <v>105</v>
      </c>
      <c r="E14" s="8" t="s">
        <v>4</v>
      </c>
      <c r="F14" s="8">
        <v>3</v>
      </c>
      <c r="G14" s="11"/>
      <c r="H14" s="8"/>
      <c r="I14" s="12" t="s">
        <v>90</v>
      </c>
      <c r="J14" s="12" t="s">
        <v>90</v>
      </c>
      <c r="K14" s="12" t="s">
        <v>90</v>
      </c>
      <c r="L14" s="12" t="s">
        <v>90</v>
      </c>
      <c r="M14" s="12" t="s">
        <v>90</v>
      </c>
      <c r="N14" s="8" t="s">
        <v>93</v>
      </c>
    </row>
    <row r="15" spans="1:14" x14ac:dyDescent="0.35">
      <c r="A15" s="13">
        <v>14</v>
      </c>
      <c r="B15" s="8" t="s">
        <v>90</v>
      </c>
      <c r="C15" s="9" t="s">
        <v>18</v>
      </c>
      <c r="D15" s="10" t="s">
        <v>106</v>
      </c>
      <c r="E15" s="8" t="s">
        <v>4</v>
      </c>
      <c r="F15" s="8">
        <v>14</v>
      </c>
      <c r="G15" s="11"/>
      <c r="H15" s="8"/>
      <c r="I15" s="12" t="s">
        <v>90</v>
      </c>
      <c r="J15" s="12" t="s">
        <v>90</v>
      </c>
      <c r="K15" s="12" t="s">
        <v>90</v>
      </c>
      <c r="L15" s="12" t="s">
        <v>90</v>
      </c>
      <c r="M15" s="12" t="s">
        <v>90</v>
      </c>
      <c r="N15" s="8" t="s">
        <v>93</v>
      </c>
    </row>
    <row r="16" spans="1:14" x14ac:dyDescent="0.35">
      <c r="A16" s="8">
        <v>15</v>
      </c>
      <c r="B16" s="8" t="s">
        <v>90</v>
      </c>
      <c r="C16" s="9" t="s">
        <v>19</v>
      </c>
      <c r="D16" s="10" t="s">
        <v>107</v>
      </c>
      <c r="E16" s="8" t="s">
        <v>4</v>
      </c>
      <c r="F16" s="8">
        <v>11</v>
      </c>
      <c r="G16" s="11"/>
      <c r="H16" s="8"/>
      <c r="I16" s="12" t="s">
        <v>90</v>
      </c>
      <c r="J16" s="12" t="s">
        <v>90</v>
      </c>
      <c r="K16" s="12" t="s">
        <v>90</v>
      </c>
      <c r="L16" s="12" t="s">
        <v>90</v>
      </c>
      <c r="M16" s="12" t="s">
        <v>90</v>
      </c>
      <c r="N16" s="8" t="s">
        <v>93</v>
      </c>
    </row>
    <row r="17" spans="1:14" x14ac:dyDescent="0.35">
      <c r="A17" s="13">
        <v>16</v>
      </c>
      <c r="B17" s="8" t="s">
        <v>90</v>
      </c>
      <c r="C17" s="9" t="s">
        <v>20</v>
      </c>
      <c r="D17" s="10" t="s">
        <v>108</v>
      </c>
      <c r="E17" s="8" t="s">
        <v>4</v>
      </c>
      <c r="F17" s="8">
        <v>18</v>
      </c>
      <c r="G17" s="11"/>
      <c r="H17" s="8"/>
      <c r="I17" s="12" t="s">
        <v>90</v>
      </c>
      <c r="J17" s="12" t="s">
        <v>90</v>
      </c>
      <c r="K17" s="12" t="s">
        <v>90</v>
      </c>
      <c r="L17" s="12" t="s">
        <v>90</v>
      </c>
      <c r="M17" s="12" t="s">
        <v>90</v>
      </c>
      <c r="N17" s="8" t="s">
        <v>93</v>
      </c>
    </row>
    <row r="18" spans="1:14" x14ac:dyDescent="0.35">
      <c r="A18" s="8">
        <v>17</v>
      </c>
      <c r="B18" s="8" t="s">
        <v>90</v>
      </c>
      <c r="C18" s="9" t="s">
        <v>21</v>
      </c>
      <c r="D18" s="10" t="s">
        <v>109</v>
      </c>
      <c r="E18" s="8" t="s">
        <v>4</v>
      </c>
      <c r="F18" s="8">
        <v>10</v>
      </c>
      <c r="G18" s="11"/>
      <c r="H18" s="8"/>
      <c r="I18" s="12" t="s">
        <v>90</v>
      </c>
      <c r="J18" s="12" t="s">
        <v>90</v>
      </c>
      <c r="K18" s="12" t="s">
        <v>90</v>
      </c>
      <c r="L18" s="12" t="s">
        <v>90</v>
      </c>
      <c r="M18" s="12" t="s">
        <v>90</v>
      </c>
      <c r="N18" s="8" t="s">
        <v>93</v>
      </c>
    </row>
    <row r="19" spans="1:14" x14ac:dyDescent="0.35">
      <c r="A19" s="13">
        <v>18</v>
      </c>
      <c r="B19" s="8" t="s">
        <v>90</v>
      </c>
      <c r="C19" s="9" t="s">
        <v>22</v>
      </c>
      <c r="D19" s="10" t="s">
        <v>110</v>
      </c>
      <c r="E19" s="8" t="s">
        <v>4</v>
      </c>
      <c r="F19" s="8">
        <v>15</v>
      </c>
      <c r="G19" s="11"/>
      <c r="H19" s="8"/>
      <c r="I19" s="12" t="s">
        <v>90</v>
      </c>
      <c r="J19" s="12" t="s">
        <v>90</v>
      </c>
      <c r="K19" s="12" t="s">
        <v>90</v>
      </c>
      <c r="L19" s="12" t="s">
        <v>90</v>
      </c>
      <c r="M19" s="12" t="s">
        <v>90</v>
      </c>
      <c r="N19" s="8" t="s">
        <v>93</v>
      </c>
    </row>
    <row r="20" spans="1:14" x14ac:dyDescent="0.35">
      <c r="A20" s="8">
        <v>19</v>
      </c>
      <c r="B20" s="8" t="s">
        <v>90</v>
      </c>
      <c r="C20" s="9" t="s">
        <v>23</v>
      </c>
      <c r="D20" s="10" t="s">
        <v>111</v>
      </c>
      <c r="E20" s="8" t="s">
        <v>4</v>
      </c>
      <c r="F20" s="8">
        <v>8</v>
      </c>
      <c r="G20" s="11"/>
      <c r="H20" s="8"/>
      <c r="I20" s="12" t="s">
        <v>90</v>
      </c>
      <c r="J20" s="12" t="s">
        <v>90</v>
      </c>
      <c r="K20" s="12" t="s">
        <v>90</v>
      </c>
      <c r="L20" s="12" t="s">
        <v>90</v>
      </c>
      <c r="M20" s="12" t="s">
        <v>90</v>
      </c>
      <c r="N20" s="8" t="s">
        <v>93</v>
      </c>
    </row>
    <row r="21" spans="1:14" x14ac:dyDescent="0.35">
      <c r="A21" s="13">
        <v>20</v>
      </c>
      <c r="B21" s="8" t="s">
        <v>90</v>
      </c>
      <c r="C21" s="9" t="s">
        <v>24</v>
      </c>
      <c r="D21" s="10" t="s">
        <v>112</v>
      </c>
      <c r="E21" s="8" t="s">
        <v>4</v>
      </c>
      <c r="F21" s="8">
        <v>9</v>
      </c>
      <c r="G21" s="11"/>
      <c r="H21" s="8"/>
      <c r="I21" s="12" t="s">
        <v>90</v>
      </c>
      <c r="J21" s="12" t="s">
        <v>90</v>
      </c>
      <c r="K21" s="12" t="s">
        <v>90</v>
      </c>
      <c r="L21" s="12" t="s">
        <v>90</v>
      </c>
      <c r="M21" s="12" t="s">
        <v>90</v>
      </c>
      <c r="N21" s="8" t="s">
        <v>93</v>
      </c>
    </row>
    <row r="22" spans="1:14" x14ac:dyDescent="0.35">
      <c r="A22" s="8">
        <v>21</v>
      </c>
      <c r="B22" s="8" t="s">
        <v>90</v>
      </c>
      <c r="C22" s="9" t="s">
        <v>25</v>
      </c>
      <c r="D22" s="10" t="s">
        <v>113</v>
      </c>
      <c r="E22" s="8" t="s">
        <v>4</v>
      </c>
      <c r="F22" s="8">
        <v>16</v>
      </c>
      <c r="G22" s="11"/>
      <c r="H22" s="8"/>
      <c r="I22" s="12" t="s">
        <v>90</v>
      </c>
      <c r="J22" s="12" t="s">
        <v>90</v>
      </c>
      <c r="K22" s="12" t="s">
        <v>90</v>
      </c>
      <c r="L22" s="12" t="s">
        <v>90</v>
      </c>
      <c r="M22" s="12" t="s">
        <v>90</v>
      </c>
      <c r="N22" s="8" t="s">
        <v>93</v>
      </c>
    </row>
    <row r="23" spans="1:14" x14ac:dyDescent="0.35">
      <c r="A23" s="13">
        <v>22</v>
      </c>
      <c r="B23" s="8" t="s">
        <v>90</v>
      </c>
      <c r="C23" s="9" t="s">
        <v>26</v>
      </c>
      <c r="D23" s="10" t="s">
        <v>114</v>
      </c>
      <c r="E23" s="8" t="s">
        <v>4</v>
      </c>
      <c r="F23" s="8">
        <v>18</v>
      </c>
      <c r="G23" s="11"/>
      <c r="H23" s="8"/>
      <c r="I23" s="12" t="s">
        <v>90</v>
      </c>
      <c r="J23" s="12" t="s">
        <v>90</v>
      </c>
      <c r="K23" s="12" t="s">
        <v>90</v>
      </c>
      <c r="L23" s="12" t="s">
        <v>90</v>
      </c>
      <c r="M23" s="12" t="s">
        <v>90</v>
      </c>
      <c r="N23" s="8" t="s">
        <v>93</v>
      </c>
    </row>
    <row r="24" spans="1:14" x14ac:dyDescent="0.35">
      <c r="A24" s="8">
        <v>23</v>
      </c>
      <c r="B24" s="8" t="s">
        <v>90</v>
      </c>
      <c r="C24" s="9" t="s">
        <v>27</v>
      </c>
      <c r="D24" s="10" t="s">
        <v>115</v>
      </c>
      <c r="E24" s="8" t="s">
        <v>4</v>
      </c>
      <c r="F24" s="8">
        <v>6</v>
      </c>
      <c r="G24" s="11"/>
      <c r="H24" s="8"/>
      <c r="I24" s="12" t="s">
        <v>90</v>
      </c>
      <c r="J24" s="12" t="s">
        <v>90</v>
      </c>
      <c r="K24" s="12" t="s">
        <v>90</v>
      </c>
      <c r="L24" s="12" t="s">
        <v>90</v>
      </c>
      <c r="M24" s="12" t="s">
        <v>90</v>
      </c>
      <c r="N24" s="8" t="s">
        <v>93</v>
      </c>
    </row>
    <row r="25" spans="1:14" x14ac:dyDescent="0.35">
      <c r="A25" s="13">
        <v>24</v>
      </c>
      <c r="B25" s="8" t="s">
        <v>90</v>
      </c>
      <c r="C25" s="9" t="s">
        <v>28</v>
      </c>
      <c r="D25" s="10" t="s">
        <v>116</v>
      </c>
      <c r="E25" s="8" t="s">
        <v>4</v>
      </c>
      <c r="F25" s="8">
        <v>2</v>
      </c>
      <c r="G25" s="11"/>
      <c r="H25" s="8"/>
      <c r="I25" s="12" t="s">
        <v>90</v>
      </c>
      <c r="J25" s="12" t="s">
        <v>90</v>
      </c>
      <c r="K25" s="12" t="s">
        <v>90</v>
      </c>
      <c r="L25" s="12" t="s">
        <v>90</v>
      </c>
      <c r="M25" s="12" t="s">
        <v>90</v>
      </c>
      <c r="N25" s="8" t="s">
        <v>93</v>
      </c>
    </row>
    <row r="26" spans="1:14" x14ac:dyDescent="0.35">
      <c r="A26" s="8">
        <v>25</v>
      </c>
      <c r="B26" s="8" t="s">
        <v>90</v>
      </c>
      <c r="C26" s="9" t="s">
        <v>29</v>
      </c>
      <c r="D26" s="10" t="s">
        <v>117</v>
      </c>
      <c r="E26" s="8" t="s">
        <v>4</v>
      </c>
      <c r="F26" s="8">
        <v>15</v>
      </c>
      <c r="G26" s="11"/>
      <c r="H26" s="8"/>
      <c r="I26" s="12" t="s">
        <v>90</v>
      </c>
      <c r="J26" s="12" t="s">
        <v>90</v>
      </c>
      <c r="K26" s="12" t="s">
        <v>90</v>
      </c>
      <c r="L26" s="12" t="s">
        <v>90</v>
      </c>
      <c r="M26" s="12" t="s">
        <v>90</v>
      </c>
      <c r="N26" s="8" t="s">
        <v>93</v>
      </c>
    </row>
    <row r="27" spans="1:14" x14ac:dyDescent="0.35">
      <c r="A27" s="13">
        <v>26</v>
      </c>
      <c r="B27" s="8" t="s">
        <v>90</v>
      </c>
      <c r="C27" s="9" t="s">
        <v>30</v>
      </c>
      <c r="D27" s="10" t="s">
        <v>118</v>
      </c>
      <c r="E27" s="8" t="s">
        <v>4</v>
      </c>
      <c r="F27" s="8">
        <v>2</v>
      </c>
      <c r="G27" s="11"/>
      <c r="H27" s="8"/>
      <c r="I27" s="12" t="s">
        <v>90</v>
      </c>
      <c r="J27" s="12" t="s">
        <v>90</v>
      </c>
      <c r="K27" s="12" t="s">
        <v>90</v>
      </c>
      <c r="L27" s="12" t="s">
        <v>90</v>
      </c>
      <c r="M27" s="12" t="s">
        <v>90</v>
      </c>
      <c r="N27" s="8" t="s">
        <v>93</v>
      </c>
    </row>
    <row r="28" spans="1:14" x14ac:dyDescent="0.35">
      <c r="A28" s="8">
        <v>27</v>
      </c>
      <c r="B28" s="8" t="s">
        <v>90</v>
      </c>
      <c r="C28" s="9" t="s">
        <v>31</v>
      </c>
      <c r="D28" s="10" t="s">
        <v>119</v>
      </c>
      <c r="E28" s="8" t="s">
        <v>4</v>
      </c>
      <c r="F28" s="8">
        <v>4</v>
      </c>
      <c r="G28" s="11"/>
      <c r="H28" s="8"/>
      <c r="I28" s="12" t="s">
        <v>90</v>
      </c>
      <c r="J28" s="12" t="s">
        <v>90</v>
      </c>
      <c r="K28" s="12" t="s">
        <v>90</v>
      </c>
      <c r="L28" s="12" t="s">
        <v>90</v>
      </c>
      <c r="M28" s="12" t="s">
        <v>90</v>
      </c>
      <c r="N28" s="8" t="s">
        <v>93</v>
      </c>
    </row>
    <row r="29" spans="1:14" x14ac:dyDescent="0.35">
      <c r="A29" s="13">
        <v>28</v>
      </c>
      <c r="B29" s="8" t="s">
        <v>90</v>
      </c>
      <c r="C29" s="9" t="s">
        <v>32</v>
      </c>
      <c r="D29" s="10" t="s">
        <v>120</v>
      </c>
      <c r="E29" s="8" t="s">
        <v>4</v>
      </c>
      <c r="F29" s="8">
        <v>10</v>
      </c>
      <c r="G29" s="11"/>
      <c r="H29" s="8"/>
      <c r="I29" s="12" t="s">
        <v>90</v>
      </c>
      <c r="J29" s="12" t="s">
        <v>90</v>
      </c>
      <c r="K29" s="12" t="s">
        <v>90</v>
      </c>
      <c r="L29" s="12" t="s">
        <v>90</v>
      </c>
      <c r="M29" s="12" t="s">
        <v>90</v>
      </c>
      <c r="N29" s="8" t="s">
        <v>93</v>
      </c>
    </row>
    <row r="30" spans="1:14" x14ac:dyDescent="0.35">
      <c r="A30" s="8">
        <v>29</v>
      </c>
      <c r="B30" s="8" t="s">
        <v>90</v>
      </c>
      <c r="C30" s="9" t="s">
        <v>33</v>
      </c>
      <c r="D30" s="10" t="s">
        <v>121</v>
      </c>
      <c r="E30" s="8" t="s">
        <v>4</v>
      </c>
      <c r="F30" s="8">
        <v>17</v>
      </c>
      <c r="G30" s="11"/>
      <c r="H30" s="8"/>
      <c r="I30" s="12" t="s">
        <v>90</v>
      </c>
      <c r="J30" s="12" t="s">
        <v>90</v>
      </c>
      <c r="K30" s="12" t="s">
        <v>90</v>
      </c>
      <c r="L30" s="12" t="s">
        <v>90</v>
      </c>
      <c r="M30" s="12" t="s">
        <v>90</v>
      </c>
      <c r="N30" s="8" t="s">
        <v>93</v>
      </c>
    </row>
    <row r="31" spans="1:14" x14ac:dyDescent="0.35">
      <c r="A31" s="13">
        <v>30</v>
      </c>
      <c r="B31" s="8" t="s">
        <v>90</v>
      </c>
      <c r="C31" s="9" t="s">
        <v>34</v>
      </c>
      <c r="D31" s="10" t="s">
        <v>122</v>
      </c>
      <c r="E31" s="8" t="s">
        <v>4</v>
      </c>
      <c r="F31" s="8">
        <v>9</v>
      </c>
      <c r="G31" s="11"/>
      <c r="H31" s="8"/>
      <c r="I31" s="12" t="s">
        <v>90</v>
      </c>
      <c r="J31" s="12" t="s">
        <v>90</v>
      </c>
      <c r="K31" s="12" t="s">
        <v>90</v>
      </c>
      <c r="L31" s="12" t="s">
        <v>90</v>
      </c>
      <c r="M31" s="12" t="s">
        <v>90</v>
      </c>
      <c r="N31" s="8" t="s">
        <v>93</v>
      </c>
    </row>
    <row r="32" spans="1:14" x14ac:dyDescent="0.35">
      <c r="A32" s="8">
        <v>31</v>
      </c>
      <c r="B32" s="8" t="s">
        <v>90</v>
      </c>
      <c r="C32" s="9" t="s">
        <v>35</v>
      </c>
      <c r="D32" s="10" t="s">
        <v>123</v>
      </c>
      <c r="E32" s="8" t="s">
        <v>4</v>
      </c>
      <c r="F32" s="8">
        <v>3</v>
      </c>
      <c r="G32" s="11"/>
      <c r="H32" s="8"/>
      <c r="I32" s="12" t="s">
        <v>90</v>
      </c>
      <c r="J32" s="12" t="s">
        <v>90</v>
      </c>
      <c r="K32" s="12" t="s">
        <v>90</v>
      </c>
      <c r="L32" s="12" t="s">
        <v>90</v>
      </c>
      <c r="M32" s="12" t="s">
        <v>90</v>
      </c>
      <c r="N32" s="8" t="s">
        <v>93</v>
      </c>
    </row>
    <row r="33" spans="1:14" x14ac:dyDescent="0.35">
      <c r="A33" s="13">
        <v>32</v>
      </c>
      <c r="B33" s="8" t="s">
        <v>90</v>
      </c>
      <c r="C33" s="9" t="s">
        <v>36</v>
      </c>
      <c r="D33" s="10" t="s">
        <v>124</v>
      </c>
      <c r="E33" s="8" t="s">
        <v>4</v>
      </c>
      <c r="F33" s="8">
        <v>4</v>
      </c>
      <c r="G33" s="11"/>
      <c r="H33" s="8"/>
      <c r="I33" s="12" t="s">
        <v>90</v>
      </c>
      <c r="J33" s="12" t="s">
        <v>90</v>
      </c>
      <c r="K33" s="12" t="s">
        <v>90</v>
      </c>
      <c r="L33" s="12" t="s">
        <v>90</v>
      </c>
      <c r="M33" s="12" t="s">
        <v>90</v>
      </c>
      <c r="N33" s="8" t="s">
        <v>93</v>
      </c>
    </row>
    <row r="34" spans="1:14" x14ac:dyDescent="0.35">
      <c r="A34" s="8">
        <v>33</v>
      </c>
      <c r="B34" s="8" t="s">
        <v>90</v>
      </c>
      <c r="C34" s="9" t="s">
        <v>37</v>
      </c>
      <c r="D34" s="10" t="s">
        <v>125</v>
      </c>
      <c r="E34" s="8" t="s">
        <v>4</v>
      </c>
      <c r="F34" s="8">
        <v>16</v>
      </c>
      <c r="G34" s="11"/>
      <c r="H34" s="8"/>
      <c r="I34" s="12" t="s">
        <v>90</v>
      </c>
      <c r="J34" s="12" t="s">
        <v>90</v>
      </c>
      <c r="K34" s="12" t="s">
        <v>90</v>
      </c>
      <c r="L34" s="12" t="s">
        <v>90</v>
      </c>
      <c r="M34" s="12" t="s">
        <v>90</v>
      </c>
      <c r="N34" s="8" t="s">
        <v>93</v>
      </c>
    </row>
    <row r="35" spans="1:14" x14ac:dyDescent="0.35">
      <c r="A35" s="13">
        <v>34</v>
      </c>
      <c r="B35" s="8" t="s">
        <v>90</v>
      </c>
      <c r="C35" s="9" t="s">
        <v>38</v>
      </c>
      <c r="D35" s="10" t="s">
        <v>126</v>
      </c>
      <c r="E35" s="8" t="s">
        <v>4</v>
      </c>
      <c r="F35" s="8">
        <v>14</v>
      </c>
      <c r="G35" s="11"/>
      <c r="H35" s="8"/>
      <c r="I35" s="12" t="s">
        <v>90</v>
      </c>
      <c r="J35" s="12" t="s">
        <v>90</v>
      </c>
      <c r="K35" s="12" t="s">
        <v>90</v>
      </c>
      <c r="L35" s="12" t="s">
        <v>90</v>
      </c>
      <c r="M35" s="12" t="s">
        <v>90</v>
      </c>
      <c r="N35" s="8" t="s">
        <v>93</v>
      </c>
    </row>
    <row r="36" spans="1:14" x14ac:dyDescent="0.35">
      <c r="A36" s="8">
        <v>35</v>
      </c>
      <c r="B36" s="8" t="s">
        <v>90</v>
      </c>
      <c r="C36" s="9" t="s">
        <v>39</v>
      </c>
      <c r="D36" s="10" t="s">
        <v>127</v>
      </c>
      <c r="E36" s="8" t="s">
        <v>4</v>
      </c>
      <c r="F36" s="8">
        <v>8</v>
      </c>
      <c r="G36" s="11"/>
      <c r="H36" s="8"/>
      <c r="I36" s="12" t="s">
        <v>90</v>
      </c>
      <c r="J36" s="12" t="s">
        <v>90</v>
      </c>
      <c r="K36" s="12" t="s">
        <v>90</v>
      </c>
      <c r="L36" s="12" t="s">
        <v>90</v>
      </c>
      <c r="M36" s="12" t="s">
        <v>90</v>
      </c>
      <c r="N36" s="8" t="s">
        <v>93</v>
      </c>
    </row>
    <row r="37" spans="1:14" x14ac:dyDescent="0.35">
      <c r="A37" s="13">
        <v>36</v>
      </c>
      <c r="B37" s="8" t="s">
        <v>90</v>
      </c>
      <c r="C37" s="9" t="s">
        <v>40</v>
      </c>
      <c r="D37" s="10" t="s">
        <v>128</v>
      </c>
      <c r="E37" s="8" t="s">
        <v>4</v>
      </c>
      <c r="F37" s="8">
        <v>17</v>
      </c>
      <c r="G37" s="11"/>
      <c r="H37" s="8"/>
      <c r="I37" s="12" t="s">
        <v>90</v>
      </c>
      <c r="J37" s="12" t="s">
        <v>90</v>
      </c>
      <c r="K37" s="12" t="s">
        <v>90</v>
      </c>
      <c r="L37" s="12" t="s">
        <v>90</v>
      </c>
      <c r="M37" s="12" t="s">
        <v>90</v>
      </c>
      <c r="N37" s="8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workbookViewId="0">
      <selection activeCell="G2" sqref="G2"/>
    </sheetView>
  </sheetViews>
  <sheetFormatPr defaultRowHeight="14.5" x14ac:dyDescent="0.35"/>
  <cols>
    <col min="1" max="1" width="3.453125" bestFit="1" customWidth="1"/>
    <col min="2" max="2" width="38.26953125" bestFit="1" customWidth="1"/>
    <col min="3" max="3" width="5.81640625" bestFit="1" customWidth="1"/>
    <col min="4" max="4" width="6.90625" bestFit="1" customWidth="1"/>
    <col min="5" max="5" width="9.08984375" bestFit="1" customWidth="1"/>
    <col min="6" max="6" width="15.90625" bestFit="1" customWidth="1"/>
    <col min="7" max="7" width="13.6328125" bestFit="1" customWidth="1"/>
    <col min="8" max="8" width="13.1796875" bestFit="1" customWidth="1"/>
    <col min="9" max="9" width="15.08984375" bestFit="1" customWidth="1"/>
    <col min="10" max="10" width="18.453125" bestFit="1" customWidth="1"/>
    <col min="11" max="11" width="15.7265625" bestFit="1" customWidth="1"/>
    <col min="12" max="12" width="18.81640625" bestFit="1" customWidth="1"/>
    <col min="13" max="13" width="13.90625" bestFit="1" customWidth="1"/>
  </cols>
  <sheetData>
    <row r="1" spans="1:13" x14ac:dyDescent="0.35">
      <c r="A1" t="s">
        <v>3</v>
      </c>
      <c r="B1" t="s">
        <v>0</v>
      </c>
      <c r="C1" t="s">
        <v>1</v>
      </c>
      <c r="D1" t="s">
        <v>2</v>
      </c>
      <c r="E1" t="s">
        <v>79</v>
      </c>
      <c r="F1" s="15" t="s">
        <v>139</v>
      </c>
      <c r="G1" s="15" t="s">
        <v>140</v>
      </c>
      <c r="H1" s="15" t="s">
        <v>141</v>
      </c>
      <c r="I1" s="15" t="s">
        <v>142</v>
      </c>
      <c r="J1" s="15" t="s">
        <v>143</v>
      </c>
      <c r="K1" s="15" t="s">
        <v>144</v>
      </c>
      <c r="L1" s="15" t="s">
        <v>80</v>
      </c>
      <c r="M1" s="15" t="s">
        <v>89</v>
      </c>
    </row>
    <row r="2" spans="1:13" x14ac:dyDescent="0.35">
      <c r="A2">
        <v>1</v>
      </c>
      <c r="B2" t="s">
        <v>5</v>
      </c>
      <c r="C2" s="1">
        <v>22188</v>
      </c>
      <c r="D2" t="s">
        <v>4</v>
      </c>
      <c r="E2">
        <v>12</v>
      </c>
    </row>
    <row r="3" spans="1:13" x14ac:dyDescent="0.35">
      <c r="A3">
        <v>2</v>
      </c>
      <c r="B3" t="s">
        <v>6</v>
      </c>
      <c r="C3" s="1">
        <v>22189</v>
      </c>
      <c r="D3" t="s">
        <v>4</v>
      </c>
      <c r="E3">
        <v>12</v>
      </c>
    </row>
    <row r="4" spans="1:13" x14ac:dyDescent="0.35">
      <c r="A4">
        <v>3</v>
      </c>
      <c r="B4" t="s">
        <v>7</v>
      </c>
      <c r="C4" s="1">
        <v>22190</v>
      </c>
      <c r="D4" t="s">
        <v>4</v>
      </c>
      <c r="E4">
        <v>5</v>
      </c>
    </row>
    <row r="5" spans="1:13" x14ac:dyDescent="0.35">
      <c r="A5">
        <v>4</v>
      </c>
      <c r="B5" t="s">
        <v>8</v>
      </c>
      <c r="C5" s="1">
        <v>22191</v>
      </c>
      <c r="D5" t="s">
        <v>4</v>
      </c>
      <c r="E5">
        <v>13</v>
      </c>
    </row>
    <row r="6" spans="1:13" x14ac:dyDescent="0.35">
      <c r="A6">
        <v>5</v>
      </c>
      <c r="B6" t="s">
        <v>9</v>
      </c>
      <c r="C6" s="1">
        <v>22192</v>
      </c>
      <c r="D6" t="s">
        <v>4</v>
      </c>
      <c r="E6">
        <v>1</v>
      </c>
    </row>
    <row r="7" spans="1:13" x14ac:dyDescent="0.35">
      <c r="A7">
        <v>6</v>
      </c>
      <c r="B7" t="s">
        <v>10</v>
      </c>
      <c r="C7" s="1">
        <v>22193</v>
      </c>
      <c r="D7" t="s">
        <v>4</v>
      </c>
      <c r="E7">
        <v>6</v>
      </c>
    </row>
    <row r="8" spans="1:13" x14ac:dyDescent="0.35">
      <c r="A8">
        <v>7</v>
      </c>
      <c r="B8" t="s">
        <v>11</v>
      </c>
      <c r="C8" s="1">
        <v>22194</v>
      </c>
      <c r="D8" t="s">
        <v>4</v>
      </c>
      <c r="E8">
        <v>5</v>
      </c>
    </row>
    <row r="9" spans="1:13" x14ac:dyDescent="0.35">
      <c r="A9">
        <v>8</v>
      </c>
      <c r="B9" t="s">
        <v>12</v>
      </c>
      <c r="C9" s="1">
        <v>22195</v>
      </c>
      <c r="D9" t="s">
        <v>4</v>
      </c>
      <c r="E9">
        <v>1</v>
      </c>
    </row>
    <row r="10" spans="1:13" x14ac:dyDescent="0.35">
      <c r="A10">
        <v>9</v>
      </c>
      <c r="B10" t="s">
        <v>13</v>
      </c>
      <c r="C10" s="1">
        <v>22196</v>
      </c>
      <c r="D10" t="s">
        <v>4</v>
      </c>
      <c r="E10">
        <v>13</v>
      </c>
    </row>
    <row r="11" spans="1:13" x14ac:dyDescent="0.35">
      <c r="A11">
        <v>10</v>
      </c>
      <c r="B11" t="s">
        <v>14</v>
      </c>
      <c r="C11" s="1">
        <v>22197</v>
      </c>
      <c r="D11" t="s">
        <v>4</v>
      </c>
      <c r="E11">
        <v>11</v>
      </c>
    </row>
    <row r="12" spans="1:13" x14ac:dyDescent="0.35">
      <c r="A12">
        <v>11</v>
      </c>
      <c r="B12" t="s">
        <v>15</v>
      </c>
      <c r="C12" s="1">
        <v>22198</v>
      </c>
      <c r="D12" t="s">
        <v>4</v>
      </c>
      <c r="E12">
        <v>7</v>
      </c>
    </row>
    <row r="13" spans="1:13" x14ac:dyDescent="0.35">
      <c r="A13">
        <v>12</v>
      </c>
      <c r="B13" t="s">
        <v>16</v>
      </c>
      <c r="C13" s="1">
        <v>22199</v>
      </c>
      <c r="D13" t="s">
        <v>4</v>
      </c>
      <c r="E13">
        <v>7</v>
      </c>
    </row>
    <row r="14" spans="1:13" x14ac:dyDescent="0.35">
      <c r="A14">
        <v>13</v>
      </c>
      <c r="B14" t="s">
        <v>17</v>
      </c>
      <c r="C14" s="1">
        <v>22200</v>
      </c>
      <c r="D14" t="s">
        <v>4</v>
      </c>
      <c r="E14">
        <v>3</v>
      </c>
    </row>
    <row r="15" spans="1:13" x14ac:dyDescent="0.35">
      <c r="A15">
        <v>14</v>
      </c>
      <c r="B15" t="s">
        <v>18</v>
      </c>
      <c r="C15" s="1">
        <v>22201</v>
      </c>
      <c r="D15" t="s">
        <v>4</v>
      </c>
      <c r="E15">
        <v>14</v>
      </c>
    </row>
    <row r="16" spans="1:13" x14ac:dyDescent="0.35">
      <c r="A16">
        <v>15</v>
      </c>
      <c r="B16" t="s">
        <v>19</v>
      </c>
      <c r="C16" s="1">
        <v>22202</v>
      </c>
      <c r="D16" t="s">
        <v>4</v>
      </c>
      <c r="E16">
        <v>11</v>
      </c>
    </row>
    <row r="17" spans="1:5" x14ac:dyDescent="0.35">
      <c r="A17">
        <v>16</v>
      </c>
      <c r="B17" t="s">
        <v>20</v>
      </c>
      <c r="C17" s="1">
        <v>22203</v>
      </c>
      <c r="D17" t="s">
        <v>4</v>
      </c>
      <c r="E17">
        <v>18</v>
      </c>
    </row>
    <row r="18" spans="1:5" x14ac:dyDescent="0.35">
      <c r="A18">
        <v>17</v>
      </c>
      <c r="B18" t="s">
        <v>21</v>
      </c>
      <c r="C18" s="1">
        <v>22204</v>
      </c>
      <c r="D18" t="s">
        <v>4</v>
      </c>
      <c r="E18">
        <v>10</v>
      </c>
    </row>
    <row r="19" spans="1:5" x14ac:dyDescent="0.35">
      <c r="A19">
        <v>18</v>
      </c>
      <c r="B19" t="s">
        <v>22</v>
      </c>
      <c r="C19" s="1">
        <v>22205</v>
      </c>
      <c r="D19" t="s">
        <v>4</v>
      </c>
      <c r="E19">
        <v>15</v>
      </c>
    </row>
    <row r="20" spans="1:5" x14ac:dyDescent="0.35">
      <c r="A20">
        <v>19</v>
      </c>
      <c r="B20" t="s">
        <v>23</v>
      </c>
      <c r="C20" s="1">
        <v>22206</v>
      </c>
      <c r="D20" t="s">
        <v>4</v>
      </c>
      <c r="E20">
        <v>8</v>
      </c>
    </row>
    <row r="21" spans="1:5" x14ac:dyDescent="0.35">
      <c r="A21">
        <v>20</v>
      </c>
      <c r="B21" t="s">
        <v>24</v>
      </c>
      <c r="C21" s="1">
        <v>22207</v>
      </c>
      <c r="D21" t="s">
        <v>4</v>
      </c>
      <c r="E21">
        <v>9</v>
      </c>
    </row>
    <row r="22" spans="1:5" x14ac:dyDescent="0.35">
      <c r="A22">
        <v>21</v>
      </c>
      <c r="B22" t="s">
        <v>25</v>
      </c>
      <c r="C22" s="1">
        <v>22208</v>
      </c>
      <c r="D22" t="s">
        <v>4</v>
      </c>
      <c r="E22">
        <v>16</v>
      </c>
    </row>
    <row r="23" spans="1:5" x14ac:dyDescent="0.35">
      <c r="A23">
        <v>22</v>
      </c>
      <c r="B23" t="s">
        <v>26</v>
      </c>
      <c r="C23" s="1">
        <v>22209</v>
      </c>
      <c r="D23" t="s">
        <v>4</v>
      </c>
      <c r="E23">
        <v>18</v>
      </c>
    </row>
    <row r="24" spans="1:5" x14ac:dyDescent="0.35">
      <c r="A24">
        <v>23</v>
      </c>
      <c r="B24" t="s">
        <v>27</v>
      </c>
      <c r="C24" s="1">
        <v>22210</v>
      </c>
      <c r="D24" t="s">
        <v>4</v>
      </c>
      <c r="E24">
        <v>6</v>
      </c>
    </row>
    <row r="25" spans="1:5" x14ac:dyDescent="0.35">
      <c r="A25">
        <v>24</v>
      </c>
      <c r="B25" t="s">
        <v>28</v>
      </c>
      <c r="C25" s="1">
        <v>22211</v>
      </c>
      <c r="D25" t="s">
        <v>4</v>
      </c>
      <c r="E25">
        <v>2</v>
      </c>
    </row>
    <row r="26" spans="1:5" x14ac:dyDescent="0.35">
      <c r="A26">
        <v>25</v>
      </c>
      <c r="B26" t="s">
        <v>29</v>
      </c>
      <c r="C26" s="1">
        <v>22212</v>
      </c>
      <c r="D26" t="s">
        <v>4</v>
      </c>
      <c r="E26">
        <v>15</v>
      </c>
    </row>
    <row r="27" spans="1:5" x14ac:dyDescent="0.35">
      <c r="A27">
        <v>26</v>
      </c>
      <c r="B27" t="s">
        <v>30</v>
      </c>
      <c r="C27" s="1">
        <v>22213</v>
      </c>
      <c r="D27" t="s">
        <v>4</v>
      </c>
      <c r="E27">
        <v>2</v>
      </c>
    </row>
    <row r="28" spans="1:5" x14ac:dyDescent="0.35">
      <c r="A28">
        <v>27</v>
      </c>
      <c r="B28" t="s">
        <v>31</v>
      </c>
      <c r="C28" s="1">
        <v>22214</v>
      </c>
      <c r="D28" t="s">
        <v>4</v>
      </c>
      <c r="E28">
        <v>4</v>
      </c>
    </row>
    <row r="29" spans="1:5" x14ac:dyDescent="0.35">
      <c r="A29">
        <v>28</v>
      </c>
      <c r="B29" t="s">
        <v>32</v>
      </c>
      <c r="C29" s="1">
        <v>22215</v>
      </c>
      <c r="D29" t="s">
        <v>4</v>
      </c>
      <c r="E29">
        <v>10</v>
      </c>
    </row>
    <row r="30" spans="1:5" x14ac:dyDescent="0.35">
      <c r="A30">
        <v>29</v>
      </c>
      <c r="B30" t="s">
        <v>33</v>
      </c>
      <c r="C30" s="1">
        <v>22216</v>
      </c>
      <c r="D30" t="s">
        <v>4</v>
      </c>
      <c r="E30">
        <v>17</v>
      </c>
    </row>
    <row r="31" spans="1:5" x14ac:dyDescent="0.35">
      <c r="A31">
        <v>30</v>
      </c>
      <c r="B31" t="s">
        <v>34</v>
      </c>
      <c r="C31" s="1">
        <v>22217</v>
      </c>
      <c r="D31" t="s">
        <v>4</v>
      </c>
      <c r="E31">
        <v>9</v>
      </c>
    </row>
    <row r="32" spans="1:5" x14ac:dyDescent="0.35">
      <c r="A32">
        <v>31</v>
      </c>
      <c r="B32" t="s">
        <v>35</v>
      </c>
      <c r="C32" s="1">
        <v>22218</v>
      </c>
      <c r="D32" t="s">
        <v>4</v>
      </c>
      <c r="E32">
        <v>3</v>
      </c>
    </row>
    <row r="33" spans="1:7" x14ac:dyDescent="0.35">
      <c r="A33">
        <v>32</v>
      </c>
      <c r="B33" t="s">
        <v>36</v>
      </c>
      <c r="C33" s="1">
        <v>22219</v>
      </c>
      <c r="D33" t="s">
        <v>4</v>
      </c>
      <c r="E33">
        <v>4</v>
      </c>
    </row>
    <row r="34" spans="1:7" x14ac:dyDescent="0.35">
      <c r="A34">
        <v>33</v>
      </c>
      <c r="B34" t="s">
        <v>37</v>
      </c>
      <c r="C34" s="1">
        <v>22220</v>
      </c>
      <c r="D34" t="s">
        <v>4</v>
      </c>
      <c r="E34">
        <v>16</v>
      </c>
    </row>
    <row r="35" spans="1:7" x14ac:dyDescent="0.35">
      <c r="A35">
        <v>34</v>
      </c>
      <c r="B35" t="s">
        <v>38</v>
      </c>
      <c r="C35" s="1">
        <v>22221</v>
      </c>
      <c r="D35" t="s">
        <v>4</v>
      </c>
      <c r="E35">
        <v>14</v>
      </c>
    </row>
    <row r="36" spans="1:7" x14ac:dyDescent="0.35">
      <c r="A36">
        <v>35</v>
      </c>
      <c r="B36" t="s">
        <v>39</v>
      </c>
      <c r="C36" s="1">
        <v>22222</v>
      </c>
      <c r="D36" t="s">
        <v>4</v>
      </c>
      <c r="E36">
        <v>8</v>
      </c>
    </row>
    <row r="37" spans="1:7" x14ac:dyDescent="0.35">
      <c r="A37">
        <v>36</v>
      </c>
      <c r="B37" t="s">
        <v>40</v>
      </c>
      <c r="C37" s="1">
        <v>22223</v>
      </c>
      <c r="D37" t="s">
        <v>4</v>
      </c>
      <c r="E37">
        <v>17</v>
      </c>
      <c r="F37" t="s">
        <v>78</v>
      </c>
      <c r="G37" t="s">
        <v>78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9B46-7FFB-4AA4-9E2F-0B8BDC030763}">
  <dimension ref="A1:D37"/>
  <sheetViews>
    <sheetView workbookViewId="0">
      <selection activeCell="B2" sqref="B2:C37"/>
    </sheetView>
  </sheetViews>
  <sheetFormatPr defaultRowHeight="14.5" x14ac:dyDescent="0.35"/>
  <cols>
    <col min="2" max="2" width="35.36328125" bestFit="1" customWidth="1"/>
  </cols>
  <sheetData>
    <row r="1" spans="1:4" x14ac:dyDescent="0.35">
      <c r="A1" t="s">
        <v>3</v>
      </c>
      <c r="B1" t="s">
        <v>0</v>
      </c>
      <c r="C1" t="s">
        <v>1</v>
      </c>
      <c r="D1" t="s">
        <v>2</v>
      </c>
    </row>
    <row r="2" spans="1:4" x14ac:dyDescent="0.35">
      <c r="A2">
        <v>1</v>
      </c>
      <c r="B2" t="s">
        <v>42</v>
      </c>
      <c r="C2" s="1">
        <v>22224</v>
      </c>
      <c r="D2" t="s">
        <v>41</v>
      </c>
    </row>
    <row r="3" spans="1:4" x14ac:dyDescent="0.35">
      <c r="A3">
        <v>2</v>
      </c>
      <c r="B3" t="s">
        <v>43</v>
      </c>
      <c r="C3" s="1">
        <v>22225</v>
      </c>
      <c r="D3" t="s">
        <v>41</v>
      </c>
    </row>
    <row r="4" spans="1:4" x14ac:dyDescent="0.35">
      <c r="A4">
        <v>3</v>
      </c>
      <c r="B4" t="s">
        <v>44</v>
      </c>
      <c r="C4" s="1">
        <v>22226</v>
      </c>
      <c r="D4" t="s">
        <v>41</v>
      </c>
    </row>
    <row r="5" spans="1:4" x14ac:dyDescent="0.35">
      <c r="A5">
        <v>4</v>
      </c>
      <c r="B5" t="s">
        <v>45</v>
      </c>
      <c r="C5" s="1">
        <v>22227</v>
      </c>
      <c r="D5" t="s">
        <v>41</v>
      </c>
    </row>
    <row r="6" spans="1:4" x14ac:dyDescent="0.35">
      <c r="A6">
        <v>5</v>
      </c>
      <c r="B6" t="s">
        <v>46</v>
      </c>
      <c r="C6" s="1">
        <v>22228</v>
      </c>
      <c r="D6" t="s">
        <v>41</v>
      </c>
    </row>
    <row r="7" spans="1:4" x14ac:dyDescent="0.35">
      <c r="A7">
        <v>6</v>
      </c>
      <c r="B7" t="s">
        <v>47</v>
      </c>
      <c r="C7" s="1">
        <v>22229</v>
      </c>
      <c r="D7" t="s">
        <v>41</v>
      </c>
    </row>
    <row r="8" spans="1:4" x14ac:dyDescent="0.35">
      <c r="A8">
        <v>7</v>
      </c>
      <c r="B8" t="s">
        <v>48</v>
      </c>
      <c r="C8" s="1">
        <v>22230</v>
      </c>
      <c r="D8" t="s">
        <v>41</v>
      </c>
    </row>
    <row r="9" spans="1:4" x14ac:dyDescent="0.35">
      <c r="A9">
        <v>8</v>
      </c>
      <c r="B9" t="s">
        <v>49</v>
      </c>
      <c r="C9" s="1">
        <v>22231</v>
      </c>
      <c r="D9" t="s">
        <v>41</v>
      </c>
    </row>
    <row r="10" spans="1:4" x14ac:dyDescent="0.35">
      <c r="A10">
        <v>9</v>
      </c>
      <c r="B10" t="s">
        <v>50</v>
      </c>
      <c r="C10" s="1">
        <v>22232</v>
      </c>
      <c r="D10" t="s">
        <v>41</v>
      </c>
    </row>
    <row r="11" spans="1:4" x14ac:dyDescent="0.35">
      <c r="A11">
        <v>10</v>
      </c>
      <c r="B11" t="s">
        <v>51</v>
      </c>
      <c r="C11" s="1">
        <v>22233</v>
      </c>
      <c r="D11" t="s">
        <v>41</v>
      </c>
    </row>
    <row r="12" spans="1:4" x14ac:dyDescent="0.35">
      <c r="A12">
        <v>11</v>
      </c>
      <c r="B12" t="s">
        <v>52</v>
      </c>
      <c r="C12" s="1">
        <v>22234</v>
      </c>
      <c r="D12" t="s">
        <v>41</v>
      </c>
    </row>
    <row r="13" spans="1:4" x14ac:dyDescent="0.35">
      <c r="A13">
        <v>12</v>
      </c>
      <c r="B13" t="s">
        <v>53</v>
      </c>
      <c r="C13" s="1">
        <v>22235</v>
      </c>
      <c r="D13" t="s">
        <v>41</v>
      </c>
    </row>
    <row r="14" spans="1:4" x14ac:dyDescent="0.35">
      <c r="A14">
        <v>13</v>
      </c>
      <c r="B14" t="s">
        <v>54</v>
      </c>
      <c r="C14" s="1">
        <v>22236</v>
      </c>
      <c r="D14" t="s">
        <v>41</v>
      </c>
    </row>
    <row r="15" spans="1:4" x14ac:dyDescent="0.35">
      <c r="A15">
        <v>14</v>
      </c>
      <c r="B15" t="s">
        <v>55</v>
      </c>
      <c r="C15" s="1">
        <v>22237</v>
      </c>
      <c r="D15" t="s">
        <v>41</v>
      </c>
    </row>
    <row r="16" spans="1:4" x14ac:dyDescent="0.35">
      <c r="A16">
        <v>15</v>
      </c>
      <c r="B16" t="s">
        <v>56</v>
      </c>
      <c r="C16" s="1">
        <v>22238</v>
      </c>
      <c r="D16" t="s">
        <v>41</v>
      </c>
    </row>
    <row r="17" spans="1:4" x14ac:dyDescent="0.35">
      <c r="A17">
        <v>16</v>
      </c>
      <c r="B17" t="s">
        <v>57</v>
      </c>
      <c r="C17" s="1">
        <v>22239</v>
      </c>
      <c r="D17" t="s">
        <v>41</v>
      </c>
    </row>
    <row r="18" spans="1:4" x14ac:dyDescent="0.35">
      <c r="A18">
        <v>17</v>
      </c>
      <c r="B18" t="s">
        <v>58</v>
      </c>
      <c r="C18" s="1">
        <v>22240</v>
      </c>
      <c r="D18" t="s">
        <v>41</v>
      </c>
    </row>
    <row r="19" spans="1:4" x14ac:dyDescent="0.35">
      <c r="A19">
        <v>18</v>
      </c>
      <c r="B19" t="s">
        <v>59</v>
      </c>
      <c r="C19" s="1">
        <v>22241</v>
      </c>
      <c r="D19" t="s">
        <v>41</v>
      </c>
    </row>
    <row r="20" spans="1:4" x14ac:dyDescent="0.35">
      <c r="A20">
        <v>19</v>
      </c>
      <c r="B20" t="s">
        <v>60</v>
      </c>
      <c r="C20" s="1">
        <v>22242</v>
      </c>
      <c r="D20" t="s">
        <v>41</v>
      </c>
    </row>
    <row r="21" spans="1:4" x14ac:dyDescent="0.35">
      <c r="A21">
        <v>20</v>
      </c>
      <c r="B21" t="s">
        <v>61</v>
      </c>
      <c r="C21" s="1">
        <v>22243</v>
      </c>
      <c r="D21" t="s">
        <v>41</v>
      </c>
    </row>
    <row r="22" spans="1:4" x14ac:dyDescent="0.35">
      <c r="A22">
        <v>21</v>
      </c>
      <c r="B22" t="s">
        <v>62</v>
      </c>
      <c r="C22" s="1">
        <v>22244</v>
      </c>
      <c r="D22" t="s">
        <v>41</v>
      </c>
    </row>
    <row r="23" spans="1:4" x14ac:dyDescent="0.35">
      <c r="A23">
        <v>22</v>
      </c>
      <c r="B23" t="s">
        <v>63</v>
      </c>
      <c r="C23" s="1">
        <v>22245</v>
      </c>
      <c r="D23" t="s">
        <v>41</v>
      </c>
    </row>
    <row r="24" spans="1:4" x14ac:dyDescent="0.35">
      <c r="A24">
        <v>23</v>
      </c>
      <c r="B24" t="s">
        <v>64</v>
      </c>
      <c r="C24" s="1">
        <v>22246</v>
      </c>
      <c r="D24" t="s">
        <v>41</v>
      </c>
    </row>
    <row r="25" spans="1:4" x14ac:dyDescent="0.35">
      <c r="A25">
        <v>24</v>
      </c>
      <c r="B25" t="s">
        <v>65</v>
      </c>
      <c r="C25" s="1">
        <v>22247</v>
      </c>
      <c r="D25" t="s">
        <v>41</v>
      </c>
    </row>
    <row r="26" spans="1:4" x14ac:dyDescent="0.35">
      <c r="A26">
        <v>25</v>
      </c>
      <c r="B26" t="s">
        <v>66</v>
      </c>
      <c r="C26" s="1">
        <v>22248</v>
      </c>
      <c r="D26" t="s">
        <v>41</v>
      </c>
    </row>
    <row r="27" spans="1:4" x14ac:dyDescent="0.35">
      <c r="A27">
        <v>26</v>
      </c>
      <c r="B27" t="s">
        <v>67</v>
      </c>
      <c r="C27" s="1">
        <v>22249</v>
      </c>
      <c r="D27" t="s">
        <v>41</v>
      </c>
    </row>
    <row r="28" spans="1:4" x14ac:dyDescent="0.35">
      <c r="A28">
        <v>27</v>
      </c>
      <c r="B28" t="s">
        <v>68</v>
      </c>
      <c r="C28" s="1">
        <v>22250</v>
      </c>
      <c r="D28" t="s">
        <v>41</v>
      </c>
    </row>
    <row r="29" spans="1:4" x14ac:dyDescent="0.35">
      <c r="A29">
        <v>28</v>
      </c>
      <c r="B29" t="s">
        <v>69</v>
      </c>
      <c r="C29" s="1">
        <v>22251</v>
      </c>
      <c r="D29" t="s">
        <v>41</v>
      </c>
    </row>
    <row r="30" spans="1:4" x14ac:dyDescent="0.35">
      <c r="A30">
        <v>29</v>
      </c>
      <c r="B30" t="s">
        <v>70</v>
      </c>
      <c r="C30" s="1">
        <v>22252</v>
      </c>
      <c r="D30" t="s">
        <v>41</v>
      </c>
    </row>
    <row r="31" spans="1:4" x14ac:dyDescent="0.35">
      <c r="A31">
        <v>30</v>
      </c>
      <c r="B31" t="s">
        <v>71</v>
      </c>
      <c r="C31" s="1">
        <v>22253</v>
      </c>
      <c r="D31" t="s">
        <v>41</v>
      </c>
    </row>
    <row r="32" spans="1:4" x14ac:dyDescent="0.35">
      <c r="A32">
        <v>31</v>
      </c>
      <c r="B32" t="s">
        <v>72</v>
      </c>
      <c r="C32" s="1">
        <v>22254</v>
      </c>
      <c r="D32" t="s">
        <v>41</v>
      </c>
    </row>
    <row r="33" spans="1:4" x14ac:dyDescent="0.35">
      <c r="A33">
        <v>32</v>
      </c>
      <c r="B33" t="s">
        <v>73</v>
      </c>
      <c r="C33" s="1">
        <v>22255</v>
      </c>
      <c r="D33" t="s">
        <v>41</v>
      </c>
    </row>
    <row r="34" spans="1:4" x14ac:dyDescent="0.35">
      <c r="A34">
        <v>33</v>
      </c>
      <c r="B34" t="s">
        <v>74</v>
      </c>
      <c r="C34" s="1">
        <v>22256</v>
      </c>
      <c r="D34" t="s">
        <v>41</v>
      </c>
    </row>
    <row r="35" spans="1:4" x14ac:dyDescent="0.35">
      <c r="A35">
        <v>34</v>
      </c>
      <c r="B35" t="s">
        <v>75</v>
      </c>
      <c r="C35" s="1">
        <v>22257</v>
      </c>
      <c r="D35" t="s">
        <v>41</v>
      </c>
    </row>
    <row r="36" spans="1:4" x14ac:dyDescent="0.35">
      <c r="A36">
        <v>35</v>
      </c>
      <c r="B36" t="s">
        <v>76</v>
      </c>
      <c r="C36" s="1">
        <v>22258</v>
      </c>
      <c r="D36" t="s">
        <v>41</v>
      </c>
    </row>
    <row r="37" spans="1:4" x14ac:dyDescent="0.35">
      <c r="A37">
        <v>36</v>
      </c>
      <c r="B37" t="s">
        <v>77</v>
      </c>
      <c r="C37" s="1">
        <v>22259</v>
      </c>
      <c r="D37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Quiz 1 (LK-1 Bubut)</vt:lpstr>
      <vt:lpstr>Pretest Diagnostik</vt:lpstr>
      <vt:lpstr>11 TP A</vt:lpstr>
      <vt:lpstr>11 TP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Tobil 93</dc:creator>
  <cp:lastModifiedBy>ACX</cp:lastModifiedBy>
  <dcterms:created xsi:type="dcterms:W3CDTF">2022-12-15T02:04:08Z</dcterms:created>
  <dcterms:modified xsi:type="dcterms:W3CDTF">2026-10-01T04:02:09Z</dcterms:modified>
</cp:coreProperties>
</file>